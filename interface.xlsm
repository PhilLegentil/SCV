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hil\Dropbox\Poly\H2024\Projet3\logiciel\"/>
    </mc:Choice>
  </mc:AlternateContent>
  <xr:revisionPtr revIDLastSave="0" documentId="13_ncr:1_{4CA7DF17-EA0C-4D05-B14B-B28563C6671D}" xr6:coauthVersionLast="47" xr6:coauthVersionMax="47" xr10:uidLastSave="{00000000-0000-0000-0000-000000000000}"/>
  <bookViews>
    <workbookView xWindow="-108" yWindow="-108" windowWidth="23256" windowHeight="12720" xr2:uid="{DF4CC69A-3295-43C3-BFDC-6E754B7ADC31}"/>
  </bookViews>
  <sheets>
    <sheet name="Données" sheetId="1" r:id="rId1"/>
    <sheet name="Centrale_nb2-1" sheetId="259" r:id="rId2"/>
    <sheet name="Centrale_nb2" sheetId="258" r:id="rId3"/>
    <sheet name="Centrale_nb1_hiver-11" sheetId="257" r:id="rId4"/>
    <sheet name="Centrale_nb1_hiver-10" sheetId="256" r:id="rId5"/>
    <sheet name="Centrale_nb1_hiver-9" sheetId="255" r:id="rId6"/>
    <sheet name="Centrale_nb1_hiver-8" sheetId="254" r:id="rId7"/>
    <sheet name="Centrale_nb1_hiver-7" sheetId="253" r:id="rId8"/>
    <sheet name="Centrale_nb1_hiver-6" sheetId="252" r:id="rId9"/>
    <sheet name="Centrale_nb1_hiver-5" sheetId="251" r:id="rId10"/>
    <sheet name="Centrale_nb1_hiver-4" sheetId="250" r:id="rId11"/>
    <sheet name="Centrale_nb1_hiver-3" sheetId="249" r:id="rId12"/>
    <sheet name="Centrale_nb1_hiver-2" sheetId="248" r:id="rId13"/>
    <sheet name="Centrale_nb1_hiver-1" sheetId="247" r:id="rId14"/>
    <sheet name="Centrale_nb1_hiver" sheetId="246" r:id="rId15"/>
    <sheet name="Centrale_nb1_été" sheetId="245" r:id="rId16"/>
    <sheet name="Centrale_nom" sheetId="244" r:id="rId17"/>
    <sheet name="Centrale_nom_balancée-1" sheetId="243" r:id="rId18"/>
    <sheet name="Centrale_nom_balancée" sheetId="237" r:id="rId19"/>
    <sheet name="Centrale_nom_hiv_riv" sheetId="224" r:id="rId20"/>
    <sheet name="Centrale_nom_hmoyen" sheetId="205" r:id="rId21"/>
    <sheet name="Centrale_charbon_3étages" sheetId="200" r:id="rId22"/>
    <sheet name="Centrale_biomasse_0étages" sheetId="199" r:id="rId23"/>
    <sheet name="Centrale_nom_hiver" sheetId="196" r:id="rId24"/>
    <sheet name="Centrale_0etages_biom_corr-1" sheetId="184" r:id="rId25"/>
    <sheet name="Centrale_0etages_biom_corr" sheetId="182" r:id="rId26"/>
    <sheet name="Centrale_0etages_biom" sheetId="176" r:id="rId27"/>
    <sheet name="Centrale_2etages_biom" sheetId="175" r:id="rId28"/>
    <sheet name="Centrale_4etages_charb" sheetId="173" r:id="rId29"/>
    <sheet name="Centrale_hiv_sout" sheetId="171" r:id="rId30"/>
    <sheet name="Centrale_nominale_soutirage" sheetId="165" r:id="rId31"/>
    <sheet name="Centrale_hiver_soutirage" sheetId="163" r:id="rId32"/>
    <sheet name="Centrale_hiver" sheetId="159" r:id="rId33"/>
    <sheet name="Centrale_été1" sheetId="157" r:id="rId34"/>
    <sheet name="Centrale_étésec" sheetId="156" r:id="rId35"/>
    <sheet name="Centrale_étésec_soutirage" sheetId="155" r:id="rId36"/>
    <sheet name="Centrale_hiver_pas de zero" sheetId="127" r:id="rId37"/>
    <sheet name="Base de données" sheetId="2" r:id="rId3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U2" i="2"/>
  <c r="Q2" i="2"/>
</calcChain>
</file>

<file path=xl/sharedStrings.xml><?xml version="1.0" encoding="utf-8"?>
<sst xmlns="http://schemas.openxmlformats.org/spreadsheetml/2006/main" count="6443" uniqueCount="187">
  <si>
    <t>Laine minérale</t>
  </si>
  <si>
    <t>Matériau du tuyau</t>
  </si>
  <si>
    <t>Acier #123</t>
  </si>
  <si>
    <t>Type de carburant</t>
  </si>
  <si>
    <t>Bois déchiqueté</t>
  </si>
  <si>
    <t>Perte de vapeur dans la tour aéroréfrigérente</t>
  </si>
  <si>
    <t>Rendement des pompes</t>
  </si>
  <si>
    <t>Carburant</t>
  </si>
  <si>
    <t>kgCO2/kg</t>
  </si>
  <si>
    <t>Métal</t>
  </si>
  <si>
    <t>Rugosité</t>
  </si>
  <si>
    <t>Choixc</t>
  </si>
  <si>
    <t>Choixtu</t>
  </si>
  <si>
    <t>Charbon</t>
  </si>
  <si>
    <t>Cellulose</t>
  </si>
  <si>
    <t>Gaz naturel</t>
  </si>
  <si>
    <t>Acier #456</t>
  </si>
  <si>
    <t>Pétrole</t>
  </si>
  <si>
    <t>Polyuréthane</t>
  </si>
  <si>
    <t>Biomasse</t>
  </si>
  <si>
    <t>Isolant</t>
  </si>
  <si>
    <t>Rendement</t>
  </si>
  <si>
    <t>Rendement de l'alternateur</t>
  </si>
  <si>
    <t>Facteur de sécurité</t>
  </si>
  <si>
    <t>Longueur de tuyau</t>
  </si>
  <si>
    <t>Épaisseur d'isolant</t>
  </si>
  <si>
    <t>Température ambiante</t>
  </si>
  <si>
    <t>Centrale</t>
  </si>
  <si>
    <t>Données d'entrée</t>
  </si>
  <si>
    <t>Résultats</t>
  </si>
  <si>
    <t>Interpolation</t>
  </si>
  <si>
    <t>Puissance</t>
  </si>
  <si>
    <t>m</t>
  </si>
  <si>
    <t>K</t>
  </si>
  <si>
    <t>Description</t>
  </si>
  <si>
    <t>Portion de la vapeur qui est perdue dans la tour aéroréfrigérante</t>
  </si>
  <si>
    <t>Facteur de sécurité pour le dimensionnement de la tuyauterie</t>
  </si>
  <si>
    <t>Longueur de tuyau entre les étages de turbines</t>
  </si>
  <si>
    <t>Isolant pour la tuyauterie</t>
  </si>
  <si>
    <t>Épaisseur de l'isolant</t>
  </si>
  <si>
    <t>Température ambiante dans la centrale</t>
  </si>
  <si>
    <t>Turbine haute pression</t>
  </si>
  <si>
    <t>Débit de design</t>
  </si>
  <si>
    <t>Diamètre primitif</t>
  </si>
  <si>
    <t>kg/s</t>
  </si>
  <si>
    <t>mm</t>
  </si>
  <si>
    <t>Nombre d'étages de directrices</t>
  </si>
  <si>
    <t>Fraction de soutirage sortante</t>
  </si>
  <si>
    <t>Température d'entrée</t>
  </si>
  <si>
    <t>Pression d'entrée</t>
  </si>
  <si>
    <t>Pression de sortie</t>
  </si>
  <si>
    <t>Longueur des aubes</t>
  </si>
  <si>
    <t>Pression à la sortie</t>
  </si>
  <si>
    <t>Température de resurchauffe</t>
  </si>
  <si>
    <t>Nombre d'étages intermédiaires</t>
  </si>
  <si>
    <t>Turbine basse pression</t>
  </si>
  <si>
    <t>Étages intermédiaires</t>
  </si>
  <si>
    <t>kPa</t>
  </si>
  <si>
    <t>Point de désign pour le débit à l'entrée</t>
  </si>
  <si>
    <t>Diamètre à la moitié de la longueur des aubes</t>
  </si>
  <si>
    <t>La fraction de la vapeur qui est dirigée vers la resurchauffe à la sortie de l'étage</t>
  </si>
  <si>
    <t>Fraction de soutirage</t>
  </si>
  <si>
    <t>Débit rivière</t>
  </si>
  <si>
    <t>Température de la rivière</t>
  </si>
  <si>
    <t>Température de rejet</t>
  </si>
  <si>
    <t>Débit minimum</t>
  </si>
  <si>
    <t>Débit maximum</t>
  </si>
  <si>
    <t>Nombre de points de débit</t>
  </si>
  <si>
    <t>Chaudière</t>
  </si>
  <si>
    <t>Capacité d'évaporation</t>
  </si>
  <si>
    <t>Volume du ballon</t>
  </si>
  <si>
    <t>Température d'entrée de l'eau de la rivière</t>
  </si>
  <si>
    <t>Température maximale de l'eau rejetée dans la rivière</t>
  </si>
  <si>
    <t>Débit minimum de la simulation</t>
  </si>
  <si>
    <t>Débit maximum de la simulation</t>
  </si>
  <si>
    <t>Nombre de points qui seront calculés dans la simulation</t>
  </si>
  <si>
    <t>Quantité de vapeur maximale que la chaudière peut fournir</t>
  </si>
  <si>
    <t>Volume du ballon d'évaporation</t>
  </si>
  <si>
    <t>Puissance dont on veut connaître le rendement</t>
  </si>
  <si>
    <t>Valeur interpolée</t>
  </si>
  <si>
    <t>MW</t>
  </si>
  <si>
    <t>Température à laquelle la vapeur est portée avant l'entrée. Entrer 0 s'il n'y a pas de resurchauffe</t>
  </si>
  <si>
    <t>Conductivité de l'isolant [W/(mK)]</t>
  </si>
  <si>
    <t>Conductivité du métal [W/(mK)]</t>
  </si>
  <si>
    <t>Débit minimum pour l'optimisation</t>
  </si>
  <si>
    <t>Débit maximum pour l'optimisation</t>
  </si>
  <si>
    <t>Turbines</t>
  </si>
  <si>
    <t>GCV [kJ/kg]</t>
  </si>
  <si>
    <t>Choixiso</t>
  </si>
  <si>
    <t>Sy [MPa]</t>
  </si>
  <si>
    <t>Debit</t>
  </si>
  <si>
    <t>Étage 1</t>
  </si>
  <si>
    <t>Étage 2</t>
  </si>
  <si>
    <t>Étage 3</t>
  </si>
  <si>
    <t>Débit inférieur d'optimisation</t>
  </si>
  <si>
    <t>Débit supérieur d'optimisation</t>
  </si>
  <si>
    <t>Titre général de la simulation</t>
  </si>
  <si>
    <t>Titre spécifique de la simulation</t>
  </si>
  <si>
    <t>m^3</t>
  </si>
  <si>
    <t>Temps de calcul (min):</t>
  </si>
  <si>
    <t>Épaisseur de tuyau (mm)</t>
  </si>
  <si>
    <t>Diamètre interne de la tuyauterie (mm)</t>
  </si>
  <si>
    <t>Pas de resurchauffe</t>
  </si>
  <si>
    <t>Étage 4</t>
  </si>
  <si>
    <t>Débit de l'eau provenant de la rivière, qui passe dans le condenseur</t>
  </si>
  <si>
    <t>Longueur totale de tubes pour chaque réchauffeur</t>
  </si>
  <si>
    <t>Centrale_hiver</t>
  </si>
  <si>
    <t>Point diagramme TS</t>
  </si>
  <si>
    <t>pas de zero dans cet interval</t>
  </si>
  <si>
    <t>Centrale_été</t>
  </si>
  <si>
    <t>Centrale_étésec</t>
  </si>
  <si>
    <t>Centrale_étésec_soutirage</t>
  </si>
  <si>
    <t>Avertissement</t>
  </si>
  <si>
    <t xml:space="preserve">L'eau qui entre dans la chaudiere est valide pour  136.8421052631579 &lt; mdot &lt; 600.0 </t>
  </si>
  <si>
    <t xml:space="preserve">Les calculs ont été fais pour 136.84 &lt; mdot &lt; 600.0 </t>
  </si>
  <si>
    <t>z</t>
  </si>
  <si>
    <t>Centrale_hiver_soutirage</t>
  </si>
  <si>
    <t xml:space="preserve">L'eau qui entre dans la chaudiere est valide pour  310.53 &lt; mdot &lt; 600.0 </t>
  </si>
  <si>
    <t>Optimisation: Le point 200 est un point ou l'eau en entierement en vapeur, le point a ete remplace par 311</t>
  </si>
  <si>
    <t>Centrale_nominale_soutirage</t>
  </si>
  <si>
    <t xml:space="preserve">L'eau qui entre dans la chaudiere est valide pour  223.68 &lt; mdot &lt; 600.0 </t>
  </si>
  <si>
    <t>Optimisation: Le point 200 est un point ou l'eau en entierement en vapeur, le point a ete remplace par 224</t>
  </si>
  <si>
    <t>Centrale_hiv_sout</t>
  </si>
  <si>
    <t xml:space="preserve">L'eau qui entre dans la chaudiere est valide pour  165.79 &lt; mdot &lt; 600.0 </t>
  </si>
  <si>
    <t xml:space="preserve">Les calculs ont été fais pour 165.79 &lt; mdot &lt; 600.0 </t>
  </si>
  <si>
    <t>Centrale_4etages_charb</t>
  </si>
  <si>
    <t>Étage 5</t>
  </si>
  <si>
    <t>Centrale_2etages_biom</t>
  </si>
  <si>
    <t xml:space="preserve">L'eau qui entre dans la chaudiere est valide pour  78.95 &lt; mdot &lt; 600.0 </t>
  </si>
  <si>
    <t xml:space="preserve">Les calculs ont été fais pour 78.95 &lt; mdot &lt; 600.0 </t>
  </si>
  <si>
    <t>Centrale_0etages_biom</t>
  </si>
  <si>
    <t>Centrale_0etages_biom_corr</t>
  </si>
  <si>
    <t>Longueur de tuyau pour la resurchauffe entre les étages de turbines</t>
  </si>
  <si>
    <t>Isolant pour la tuyauterie de la resurchauffe</t>
  </si>
  <si>
    <t>Épaisseur de l'isolant pour la tuyauterie de la resurchauffe</t>
  </si>
  <si>
    <t>Facteur de sécurité pour le dimensionnement de la tuyauterie pour la resurchauffe</t>
  </si>
  <si>
    <t>Tuyauterie de la resurchauffe</t>
  </si>
  <si>
    <t>Température de l'eau de la rivière, utilisé pour le condenseur et l'eau d'alimentation</t>
  </si>
  <si>
    <t>Température maximale de l'eau rejetée par le condenseur dans la rivière</t>
  </si>
  <si>
    <t>Longueur des aubes au dernier étage de la turbine basse pression</t>
  </si>
  <si>
    <t>La pression de sortie est prise comme pression en entrée pour le prochain étage</t>
  </si>
  <si>
    <t>Indiquer le nombre d'étages intermédiaires présents dans la centrale</t>
  </si>
  <si>
    <t>Index du point (débit massique) pour lequel on trace le digramme TS</t>
  </si>
  <si>
    <t>Carburant exemple</t>
  </si>
  <si>
    <t>Titre de la simulation</t>
  </si>
  <si>
    <t>Titre spécifique à la simulation</t>
  </si>
  <si>
    <t>Centrale-1</t>
  </si>
  <si>
    <t>Diamètre à la moitié de la longueur des aubes au dernier étage</t>
  </si>
  <si>
    <t>Centrale_nom_hiver</t>
  </si>
  <si>
    <t>Centrale_nom</t>
  </si>
  <si>
    <t>Centrale_biomasse_0étages</t>
  </si>
  <si>
    <t>Centrale_charbon_3étages</t>
  </si>
  <si>
    <t>Centrale_nom_hmoyen</t>
  </si>
  <si>
    <t xml:space="preserve">L'eau qui entre dans la chaudiere est valide pour  270.0 &lt; mdot &lt; 600.0 </t>
  </si>
  <si>
    <t>Optimisation: Le point 200 est un point ou l'eau en entierement en vapeur, le point a ete remplace par 270</t>
  </si>
  <si>
    <t>Centrale_nom_hiv_riv</t>
  </si>
  <si>
    <t>Centrale_nom_balancée</t>
  </si>
  <si>
    <t>Centrale_nom_balancée-1</t>
  </si>
  <si>
    <t xml:space="preserve">L'eau qui entre dans la chaudiere est valide pour  50.0 &lt; mdot &lt; 855.26 </t>
  </si>
  <si>
    <t xml:space="preserve">Les calculs ont été fais pour 50.0 &lt; mdot &lt; 855.26 </t>
  </si>
  <si>
    <t>Optimisation: Le point 900 est un point ou l'eau en entierement en vapeur, le point a ete remplace par 855</t>
  </si>
  <si>
    <t>Centrale_nb1_été</t>
  </si>
  <si>
    <t>Centrale_nb1_hiver</t>
  </si>
  <si>
    <t xml:space="preserve">Les calculs ont été fais pour 139.47 &lt; mdot &lt; 900.0 </t>
  </si>
  <si>
    <t xml:space="preserve">L'eau qui entre dans la chaudiere respecte la tolérance de teneur en vapeur pour  139.47 &lt; mdot &lt; 900.0 </t>
  </si>
  <si>
    <t>Centrale_nb1_hiver-1</t>
  </si>
  <si>
    <t>Point optimal:</t>
  </si>
  <si>
    <t>Centrale_nb1_hiver-2</t>
  </si>
  <si>
    <t>Centrale_nb1_hiver-3</t>
  </si>
  <si>
    <t>Tuyauterie</t>
  </si>
  <si>
    <t>Centrale_nb1_hiver-4</t>
  </si>
  <si>
    <t>Erreur</t>
  </si>
  <si>
    <t>(-2147352567, 'Exception occurred.', (0, 'Microsoft Excel', 'BorderAround method of Range class failed', 'xlmain11.chm', 0, -2146827284), None)</t>
  </si>
  <si>
    <t xml:space="preserve">Traceback (most recent call last):
  File "C:\Users\Phil\Dropbox\Poly\H2024\Projet3\logiciel\rankine_main.py", line 182, in &lt;module&gt;
    sheet.Range("B9").BorderAround(1, 51)
  File "&lt;COMObject Range&gt;", line 3, in BorderAround
  File "C:\Users\Phil\AppData\Local\Programs\Python\Python38\lib\site-packages\win32com\client\dynamic.py", line 366, in _ApplyTypes_
    result = self._oleobj_.InvokeTypes(
pywintypes.com_error: (-2147352567, 'Exception occurred.', (0, 'Microsoft Excel', 'BorderAround method of Range class failed', 'xlmain11.chm', 0, -2146827284), None)
</t>
  </si>
  <si>
    <t>Centrale_nb1_hiver-5</t>
  </si>
  <si>
    <t>Tuyauterie:</t>
  </si>
  <si>
    <t>Centrale_nb1_hiver-6</t>
  </si>
  <si>
    <t>Centrale_nb1_hiver-7</t>
  </si>
  <si>
    <t>Temps de calcul (sec):</t>
  </si>
  <si>
    <t>Centrale_nb1_hiver-8</t>
  </si>
  <si>
    <t>Centrale_nb1_hiver-9</t>
  </si>
  <si>
    <t>Centrale_nb1_hiver-10</t>
  </si>
  <si>
    <t>Centrale_nb2</t>
  </si>
  <si>
    <t>Centrale_nb1_hiver-11</t>
  </si>
  <si>
    <t>L'eau entrante dans la chaudière contient trop de vapeur pour tous les débits massiques considérés</t>
  </si>
  <si>
    <t>Les calculs n'ont pas été faits</t>
  </si>
  <si>
    <t>Centrale_nb2-1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</si>
</sst>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sz val="10"/>
      <color indexed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4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2" fillId="0" borderId="3" xfId="0" applyFont="1" applyBorder="1"/>
    <xf numFmtId="0" fontId="0" fillId="0" borderId="3" xfId="0" applyBorder="1"/>
    <xf numFmtId="0" fontId="0" fillId="0" borderId="1" xfId="0" applyBorder="1"/>
    <xf numFmtId="0" fontId="0" fillId="0" borderId="13" xfId="0" applyBorder="1" applyAlignment="1">
      <alignment vertical="center"/>
    </xf>
    <xf numFmtId="0" fontId="5" fillId="0" borderId="25" xfId="0" applyFont="1" applyBorder="1" applyAlignment="1">
      <alignment wrapText="1"/>
    </xf>
    <xf numFmtId="0" fontId="0" fillId="0" borderId="15" xfId="0" applyBorder="1" applyAlignment="1">
      <alignment vertical="center" wrapText="1"/>
    </xf>
    <xf numFmtId="0" fontId="0" fillId="0" borderId="8" xfId="0" applyBorder="1" applyAlignment="1">
      <alignment vertical="center"/>
    </xf>
    <xf numFmtId="0" fontId="2" fillId="0" borderId="10" xfId="0" applyFont="1" applyBorder="1" applyAlignment="1">
      <alignment vertical="center"/>
    </xf>
    <xf numFmtId="0" fontId="0" fillId="0" borderId="2" xfId="0" applyBorder="1"/>
    <xf numFmtId="0" fontId="0" fillId="0" borderId="33" xfId="0" applyBorder="1"/>
    <xf numFmtId="0" fontId="0" fillId="0" borderId="34" xfId="0" applyBorder="1"/>
    <xf numFmtId="0" fontId="5" fillId="0" borderId="30" xfId="0" applyFont="1" applyBorder="1"/>
    <xf numFmtId="0" fontId="0" fillId="0" borderId="0" xfId="0" applyProtection="1">
      <protection locked="0"/>
    </xf>
    <xf numFmtId="0" fontId="3" fillId="0" borderId="17" xfId="0" applyFont="1" applyBorder="1" applyAlignment="1" applyProtection="1">
      <alignment wrapText="1"/>
      <protection locked="0"/>
    </xf>
    <xf numFmtId="0" fontId="0" fillId="0" borderId="18" xfId="0" applyBorder="1" applyProtection="1">
      <protection locked="0"/>
    </xf>
    <xf numFmtId="0" fontId="0" fillId="0" borderId="11" xfId="0" applyBorder="1" applyProtection="1">
      <protection locked="0"/>
    </xf>
    <xf numFmtId="0" fontId="2" fillId="0" borderId="10" xfId="0" applyFont="1" applyBorder="1" applyAlignment="1" applyProtection="1">
      <alignment vertical="center"/>
      <protection locked="0"/>
    </xf>
    <xf numFmtId="0" fontId="5" fillId="0" borderId="25" xfId="0" applyFont="1" applyBorder="1" applyAlignment="1" applyProtection="1">
      <alignment wrapText="1"/>
      <protection locked="0"/>
    </xf>
    <xf numFmtId="0" fontId="2" fillId="0" borderId="21" xfId="0" applyFont="1" applyBorder="1" applyAlignment="1" applyProtection="1">
      <alignment horizontal="right" vertical="center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23" xfId="0" applyBorder="1" applyProtection="1">
      <protection locked="0"/>
    </xf>
    <xf numFmtId="0" fontId="2" fillId="0" borderId="8" xfId="0" applyFont="1" applyBorder="1" applyAlignment="1" applyProtection="1">
      <alignment vertical="center"/>
      <protection locked="0"/>
    </xf>
    <xf numFmtId="0" fontId="2" fillId="0" borderId="10" xfId="0" applyFont="1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right" vertical="center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0" fontId="5" fillId="0" borderId="30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2" fillId="0" borderId="1" xfId="0" applyFont="1" applyBorder="1" applyAlignment="1">
      <alignment wrapText="1"/>
    </xf>
    <xf numFmtId="11" fontId="0" fillId="0" borderId="1" xfId="0" applyNumberFormat="1" applyBorder="1" applyAlignment="1">
      <alignment wrapText="1"/>
    </xf>
    <xf numFmtId="11" fontId="0" fillId="0" borderId="0" xfId="0" applyNumberFormat="1" applyAlignment="1">
      <alignment wrapText="1"/>
    </xf>
    <xf numFmtId="0" fontId="3" fillId="0" borderId="10" xfId="0" applyFont="1" applyBorder="1" applyAlignment="1">
      <alignment horizontal="center" wrapText="1"/>
    </xf>
    <xf numFmtId="0" fontId="0" fillId="0" borderId="13" xfId="0" applyBorder="1" applyAlignment="1">
      <alignment vertical="center" wrapText="1"/>
    </xf>
    <xf numFmtId="0" fontId="5" fillId="0" borderId="1" xfId="0" applyFont="1" applyBorder="1"/>
    <xf numFmtId="0" fontId="4" fillId="0" borderId="10" xfId="0" applyFont="1" applyBorder="1" applyAlignment="1">
      <alignment wrapText="1"/>
    </xf>
    <xf numFmtId="0" fontId="0" fillId="0" borderId="13" xfId="0" applyBorder="1"/>
    <xf numFmtId="0" fontId="5" fillId="0" borderId="1" xfId="0" applyFont="1" applyBorder="1" applyAlignment="1">
      <alignment wrapText="1"/>
    </xf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2" fillId="0" borderId="14" xfId="0" applyFont="1" applyBorder="1" applyAlignment="1">
      <alignment horizontal="right" vertical="center" wrapText="1"/>
    </xf>
    <xf numFmtId="0" fontId="0" fillId="0" borderId="15" xfId="0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0" fillId="0" borderId="20" xfId="0" applyBorder="1"/>
    <xf numFmtId="0" fontId="2" fillId="0" borderId="10" xfId="0" applyFont="1" applyBorder="1" applyAlignment="1">
      <alignment horizontal="right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7" xfId="0" applyBorder="1"/>
    <xf numFmtId="0" fontId="10" fillId="0" borderId="1" xfId="0" applyFont="1" applyBorder="1" applyAlignment="1">
      <alignment wrapText="1"/>
    </xf>
    <xf numFmtId="0" fontId="5" fillId="0" borderId="30" xfId="0" applyFont="1" applyBorder="1" applyAlignment="1">
      <alignment wrapText="1"/>
    </xf>
    <xf numFmtId="0" fontId="2" fillId="0" borderId="35" xfId="0" applyFont="1" applyBorder="1" applyAlignment="1">
      <alignment horizontal="right" vertical="center" wrapText="1"/>
    </xf>
    <xf numFmtId="0" fontId="0" fillId="0" borderId="36" xfId="0" applyBorder="1" applyAlignment="1">
      <alignment horizontal="center" vertical="center" wrapText="1"/>
    </xf>
    <xf numFmtId="0" fontId="0" fillId="2" borderId="0" xfId="0" applyFill="1"/>
    <xf numFmtId="0" fontId="5" fillId="0" borderId="16" xfId="0" applyFont="1" applyBorder="1" applyAlignment="1">
      <alignment wrapText="1"/>
    </xf>
    <xf numFmtId="0" fontId="11" fillId="0" borderId="10" xfId="0" applyFont="1" applyBorder="1" applyAlignment="1">
      <alignment horizontal="right" vertical="center" wrapText="1"/>
    </xf>
    <xf numFmtId="0" fontId="0" fillId="0" borderId="36" xfId="0" applyBorder="1" applyAlignment="1">
      <alignment wrapText="1"/>
    </xf>
    <xf numFmtId="0" fontId="3" fillId="0" borderId="17" xfId="0" applyFont="1" applyBorder="1" applyAlignment="1">
      <alignment wrapText="1"/>
    </xf>
    <xf numFmtId="0" fontId="0" fillId="0" borderId="18" xfId="0" applyBorder="1"/>
    <xf numFmtId="0" fontId="0" fillId="0" borderId="11" xfId="0" applyBorder="1"/>
    <xf numFmtId="0" fontId="2" fillId="0" borderId="21" xfId="0" applyFont="1" applyBorder="1" applyAlignment="1">
      <alignment horizontal="righ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/>
    <xf numFmtId="0" fontId="2" fillId="0" borderId="10" xfId="0" applyFont="1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2" fillId="0" borderId="28" xfId="0" applyFont="1" applyBorder="1" applyAlignment="1">
      <alignment horizontal="right" vertical="center"/>
    </xf>
    <xf numFmtId="0" fontId="0" fillId="0" borderId="29" xfId="0" applyBorder="1" applyAlignment="1">
      <alignment horizontal="left" vertical="center"/>
    </xf>
    <xf numFmtId="0" fontId="5" fillId="0" borderId="5" xfId="0" applyFont="1" applyBorder="1" applyAlignment="1">
      <alignment wrapText="1"/>
    </xf>
    <xf numFmtId="0" fontId="0" fillId="0" borderId="12" xfId="0" applyBorder="1"/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0" fontId="8" fillId="0" borderId="6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0" fillId="0" borderId="6" xfId="0" applyBorder="1" applyProtection="1">
      <protection locked="0"/>
    </xf>
    <xf numFmtId="0" fontId="4" fillId="0" borderId="31" xfId="0" applyFont="1" applyBorder="1" applyAlignment="1" applyProtection="1">
      <alignment horizontal="center" vertical="center"/>
    </xf>
    <xf numFmtId="0" fontId="4" fillId="0" borderId="32" xfId="0" applyFont="1" applyBorder="1" applyAlignment="1" applyProtection="1">
      <alignment horizontal="center" vertical="center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4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3" fillId="0" borderId="10" xfId="0" applyFont="1" applyBorder="1" applyAlignment="1" applyProtection="1">
      <alignment horizontal="center" wrapText="1"/>
    </xf>
    <xf numFmtId="0" fontId="0" fillId="0" borderId="13" xfId="0" applyBorder="1" applyAlignment="1" applyProtection="1">
      <alignment vertical="center" wrapText="1"/>
    </xf>
    <xf numFmtId="0" fontId="5" fillId="0" borderId="1" xfId="0" applyFont="1" applyBorder="1" applyProtection="1"/>
    <xf numFmtId="0" fontId="0" fillId="0" borderId="0" xfId="0" applyProtection="1"/>
    <xf numFmtId="0" fontId="4" fillId="0" borderId="10" xfId="0" applyFont="1" applyBorder="1" applyAlignment="1" applyProtection="1">
      <alignment wrapText="1"/>
    </xf>
    <xf numFmtId="0" fontId="0" fillId="0" borderId="13" xfId="0" applyBorder="1" applyProtection="1"/>
    <xf numFmtId="0" fontId="5" fillId="0" borderId="1" xfId="0" applyFont="1" applyBorder="1" applyAlignment="1" applyProtection="1">
      <alignment wrapText="1"/>
    </xf>
    <xf numFmtId="0" fontId="1" fillId="0" borderId="0" xfId="0" applyFont="1" applyProtection="1"/>
    <xf numFmtId="0" fontId="3" fillId="0" borderId="17" xfId="0" applyFont="1" applyBorder="1" applyAlignment="1" applyProtection="1">
      <alignment wrapText="1"/>
    </xf>
    <xf numFmtId="0" fontId="0" fillId="0" borderId="18" xfId="0" applyBorder="1" applyProtection="1"/>
    <xf numFmtId="0" fontId="0" fillId="0" borderId="11" xfId="0" applyBorder="1" applyProtection="1"/>
    <xf numFmtId="0" fontId="0" fillId="0" borderId="15" xfId="0" applyBorder="1" applyAlignment="1" applyProtection="1">
      <alignment vertical="center" wrapText="1"/>
    </xf>
    <xf numFmtId="0" fontId="0" fillId="0" borderId="33" xfId="0" applyBorder="1" applyProtection="1"/>
    <xf numFmtId="0" fontId="2" fillId="0" borderId="10" xfId="0" applyFont="1" applyBorder="1" applyAlignment="1" applyProtection="1">
      <alignment vertical="center"/>
    </xf>
    <xf numFmtId="0" fontId="0" fillId="0" borderId="13" xfId="0" applyBorder="1" applyAlignment="1" applyProtection="1">
      <alignment vertical="center"/>
    </xf>
    <xf numFmtId="0" fontId="5" fillId="0" borderId="25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10" xfId="0" applyBorder="1" applyAlignment="1" applyProtection="1">
      <alignment wrapText="1"/>
    </xf>
    <xf numFmtId="0" fontId="2" fillId="0" borderId="14" xfId="0" applyFont="1" applyBorder="1" applyAlignment="1" applyProtection="1">
      <alignment horizontal="right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</xf>
    <xf numFmtId="0" fontId="2" fillId="0" borderId="10" xfId="0" applyFont="1" applyBorder="1" applyAlignment="1" applyProtection="1">
      <alignment vertical="center" wrapText="1"/>
    </xf>
    <xf numFmtId="0" fontId="1" fillId="0" borderId="19" xfId="0" applyFont="1" applyBorder="1" applyAlignment="1" applyProtection="1">
      <alignment horizontal="center" vertical="center"/>
    </xf>
    <xf numFmtId="0" fontId="0" fillId="0" borderId="20" xfId="0" applyBorder="1" applyProtection="1"/>
    <xf numFmtId="0" fontId="2" fillId="0" borderId="21" xfId="0" applyFont="1" applyBorder="1" applyAlignment="1" applyProtection="1">
      <alignment horizontal="right" vertical="center"/>
    </xf>
    <xf numFmtId="0" fontId="0" fillId="0" borderId="22" xfId="0" applyBorder="1" applyAlignment="1" applyProtection="1">
      <alignment horizontal="left" vertical="center"/>
    </xf>
    <xf numFmtId="0" fontId="5" fillId="0" borderId="5" xfId="0" applyFont="1" applyBorder="1" applyAlignment="1" applyProtection="1">
      <alignment wrapText="1"/>
    </xf>
    <xf numFmtId="0" fontId="0" fillId="0" borderId="34" xfId="0" applyBorder="1" applyProtection="1"/>
    <xf numFmtId="0" fontId="0" fillId="0" borderId="8" xfId="0" applyBorder="1" applyAlignment="1" applyProtection="1">
      <alignment vertical="center"/>
    </xf>
    <xf numFmtId="0" fontId="5" fillId="0" borderId="30" xfId="0" applyFont="1" applyBorder="1" applyProtection="1"/>
    <xf numFmtId="0" fontId="2" fillId="0" borderId="10" xfId="0" applyFont="1" applyBorder="1" applyAlignment="1" applyProtection="1">
      <alignment horizontal="right" vertical="center" wrapText="1"/>
    </xf>
    <xf numFmtId="0" fontId="0" fillId="0" borderId="1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1" fillId="0" borderId="24" xfId="0" applyFont="1" applyBorder="1" applyAlignment="1" applyProtection="1">
      <alignment horizontal="center" vertical="center"/>
    </xf>
    <xf numFmtId="0" fontId="0" fillId="0" borderId="1" xfId="0" applyBorder="1" applyProtection="1"/>
    <xf numFmtId="0" fontId="2" fillId="0" borderId="10" xfId="0" applyFont="1" applyBorder="1" applyAlignment="1" applyProtection="1">
      <alignment horizontal="right" vertical="center"/>
    </xf>
    <xf numFmtId="0" fontId="0" fillId="0" borderId="13" xfId="0" applyBorder="1" applyAlignment="1" applyProtection="1">
      <alignment horizontal="left" vertical="center"/>
    </xf>
    <xf numFmtId="0" fontId="0" fillId="0" borderId="5" xfId="0" applyBorder="1" applyProtection="1"/>
    <xf numFmtId="0" fontId="0" fillId="2" borderId="0" xfId="0" applyFill="1" applyProtection="1"/>
    <xf numFmtId="0" fontId="0" fillId="0" borderId="6" xfId="0" applyBorder="1" applyProtection="1"/>
    <xf numFmtId="0" fontId="1" fillId="0" borderId="26" xfId="0" applyFont="1" applyBorder="1" applyAlignment="1" applyProtection="1">
      <alignment horizontal="center" vertical="center"/>
    </xf>
    <xf numFmtId="0" fontId="0" fillId="0" borderId="27" xfId="0" applyBorder="1" applyProtection="1"/>
    <xf numFmtId="0" fontId="2" fillId="0" borderId="28" xfId="0" applyFont="1" applyBorder="1" applyAlignment="1" applyProtection="1">
      <alignment horizontal="right" vertical="center"/>
    </xf>
    <xf numFmtId="0" fontId="0" fillId="0" borderId="29" xfId="0" applyBorder="1" applyAlignment="1" applyProtection="1">
      <alignment horizontal="left" vertical="center"/>
    </xf>
    <xf numFmtId="0" fontId="5" fillId="0" borderId="30" xfId="0" applyFont="1" applyBorder="1" applyAlignment="1" applyProtection="1">
      <alignment wrapText="1"/>
    </xf>
    <xf numFmtId="0" fontId="8" fillId="0" borderId="0" xfId="0" applyFont="1" applyAlignment="1" applyProtection="1">
      <alignment horizontal="center" wrapText="1"/>
    </xf>
    <xf numFmtId="0" fontId="8" fillId="0" borderId="6" xfId="0" applyFont="1" applyBorder="1" applyAlignment="1" applyProtection="1">
      <alignment horizontal="center" wrapText="1"/>
    </xf>
    <xf numFmtId="0" fontId="0" fillId="0" borderId="23" xfId="0" applyBorder="1" applyProtection="1"/>
    <xf numFmtId="0" fontId="9" fillId="0" borderId="0" xfId="0" applyFont="1" applyAlignment="1" applyProtection="1">
      <alignment horizontal="center" wrapText="1"/>
    </xf>
    <xf numFmtId="0" fontId="0" fillId="0" borderId="12" xfId="0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wrapText="1"/>
    </xf>
    <xf numFmtId="0" fontId="0" fillId="0" borderId="12" xfId="0" applyBorder="1" applyProtection="1"/>
    <xf numFmtId="0" fontId="2" fillId="0" borderId="35" xfId="0" applyFont="1" applyBorder="1" applyAlignment="1" applyProtection="1">
      <alignment horizontal="right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wrapText="1"/>
    </xf>
    <xf numFmtId="0" fontId="11" fillId="0" borderId="10" xfId="0" applyFont="1" applyBorder="1" applyAlignment="1" applyProtection="1">
      <alignment horizontal="right" vertical="center" wrapText="1"/>
    </xf>
    <xf numFmtId="0" fontId="0" fillId="0" borderId="7" xfId="0" applyBorder="1" applyProtection="1"/>
    <xf numFmtId="0" fontId="0" fillId="0" borderId="8" xfId="0" applyBorder="1" applyProtection="1"/>
    <xf numFmtId="0" fontId="0" fillId="0" borderId="9" xfId="0" applyBorder="1" applyProtection="1"/>
    <xf numFmtId="0" fontId="0" fillId="0" borderId="0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2" fillId="0" borderId="2" xfId="0" applyFont="1" applyBorder="1" applyProtection="1"/>
    <xf numFmtId="0" fontId="0" fillId="0" borderId="39" xfId="0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38" xfId="0" applyBorder="1" applyProtection="1"/>
    <xf numFmtId="0" fontId="0" fillId="0" borderId="42" xfId="0" applyBorder="1" applyProtection="1"/>
    <xf numFmtId="0" fontId="2" fillId="0" borderId="37" xfId="0" applyFont="1" applyBorder="1" applyProtection="1"/>
    <xf numFmtId="0" fontId="0" fillId="0" borderId="0" xfId="0" applyBorder="1" applyProtection="1"/>
    <xf numFmtId="0" fontId="2" fillId="0" borderId="1" xfId="0" applyFont="1" applyBorder="1"/>
    <xf numFmtId="0" fontId="2" fillId="0" borderId="1" xfId="0" applyFont="1" applyBorder="1" applyProtection="1"/>
    <xf numFmtId="0" fontId="0" fillId="0" borderId="43" xfId="0" applyBorder="1" applyAlignment="1" applyProtection="1">
      <alignment wrapText="1"/>
    </xf>
    <xf numFmtId="0" fontId="0" fillId="0" borderId="43" xfId="0" applyBorder="1" applyProtection="1"/>
    <xf numFmtId="0" fontId="2" fillId="0" borderId="45" xfId="0" applyFont="1" applyBorder="1"/>
    <xf numFmtId="0" fontId="0" fillId="0" borderId="19" xfId="0" applyBorder="1" applyAlignment="1" applyProtection="1">
      <alignment vertical="center" wrapText="1"/>
    </xf>
    <xf numFmtId="0" fontId="5" fillId="0" borderId="44" xfId="0" applyFont="1" applyBorder="1" applyAlignment="1" applyProtection="1">
      <alignment wrapText="1"/>
    </xf>
    <xf numFmtId="0" fontId="0" fillId="0" borderId="46" xfId="0" applyBorder="1" applyProtection="1"/>
    <xf numFmtId="0" fontId="2" fillId="0" borderId="45" xfId="0" applyFont="1" applyBorder="1" applyProtection="1"/>
    <xf numFmtId="0" fontId="0" fillId="0" borderId="46" xfId="0" applyBorder="1" applyAlignment="1">
      <alignment horizontal="left" vertical="center"/>
    </xf>
    <xf numFmtId="0" fontId="0" fillId="0" borderId="46" xfId="0" applyBorder="1" applyAlignment="1" applyProtection="1">
      <alignment horizontal="left" vertical="center"/>
    </xf>
    <xf numFmtId="0" fontId="5" fillId="0" borderId="44" xfId="0" applyFont="1" applyBorder="1" applyAlignment="1">
      <alignment horizontal="right" vertical="center" wrapText="1"/>
    </xf>
    <xf numFmtId="0" fontId="0" fillId="0" borderId="19" xfId="0" applyBorder="1" applyAlignment="1">
      <alignment horizontal="right" vertical="center" wrapText="1"/>
    </xf>
    <xf numFmtId="0" fontId="0" fillId="0" borderId="19" xfId="0" applyBorder="1" applyAlignment="1" applyProtection="1">
      <alignment horizontal="right" vertical="center" wrapText="1"/>
    </xf>
    <xf numFmtId="0" fontId="5" fillId="0" borderId="44" xfId="0" applyFont="1" applyBorder="1" applyAlignment="1" applyProtection="1">
      <alignment horizontal="right" vertical="center" wrapText="1"/>
    </xf>
    <xf numFmtId="0" fontId="0" fillId="0" borderId="4" xfId="0" applyBorder="1" applyAlignment="1">
      <alignment horizontal="left" vertical="center"/>
    </xf>
    <xf numFmtId="0" fontId="0" fillId="0" borderId="4" xfId="0" applyBorder="1" applyAlignment="1" applyProtection="1">
      <alignment horizontal="left" vertical="center"/>
    </xf>
    <xf numFmtId="0" fontId="5" fillId="0" borderId="30" xfId="0" applyFont="1" applyBorder="1" applyAlignment="1" applyProtection="1">
      <alignment horizontal="left" vertical="center"/>
    </xf>
    <xf numFmtId="0" fontId="5" fillId="0" borderId="25" xfId="0" applyFont="1" applyBorder="1" applyAlignment="1" applyProtection="1">
      <alignment horizontal="left" vertical="center" wrapText="1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Centrale_nb2-1\Centrale_nb2-1h.png" TargetMode="External"/><Relationship Id="rId3" Type="http://schemas.openxmlformats.org/officeDocument/2006/relationships/image" Target="Centrale_nb2-1\Centrale_nb2-1c.png" TargetMode="External"/><Relationship Id="rId7" Type="http://schemas.openxmlformats.org/officeDocument/2006/relationships/image" Target="Centrale_nb2-1\Centrale_nb2-1g.png" TargetMode="External"/><Relationship Id="rId2" Type="http://schemas.openxmlformats.org/officeDocument/2006/relationships/image" Target="Centrale_nb2-1\Centrale_nb2-1b.png" TargetMode="External"/><Relationship Id="rId1" Type="http://schemas.openxmlformats.org/officeDocument/2006/relationships/image" Target="Centrale_nb2-1\Centrale_nb2-1a.png" TargetMode="External"/><Relationship Id="rId6" Type="http://schemas.openxmlformats.org/officeDocument/2006/relationships/image" Target="Centrale_nb2-1\Centrale_nb2-1f.png" TargetMode="External"/><Relationship Id="rId5" Type="http://schemas.openxmlformats.org/officeDocument/2006/relationships/image" Target="Centrale_nb2-1\Centrale_nb2-1e.png" TargetMode="External"/><Relationship Id="rId10" Type="http://schemas.openxmlformats.org/officeDocument/2006/relationships/image" Target="Centrale_nb2-1\Centrale_nb2-1j.png" TargetMode="External"/><Relationship Id="rId4" Type="http://schemas.openxmlformats.org/officeDocument/2006/relationships/image" Target="Centrale_nb2-1\Centrale_nb2-1d.png" TargetMode="External"/><Relationship Id="rId9" Type="http://schemas.openxmlformats.org/officeDocument/2006/relationships/image" Target="Centrale_nb2-1\Centrale_nb2-1i.pn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Centrale_nb2\Centrale_nb2h.png" TargetMode="External"/><Relationship Id="rId3" Type="http://schemas.openxmlformats.org/officeDocument/2006/relationships/image" Target="Centrale_nb2\Centrale_nb2c.png" TargetMode="External"/><Relationship Id="rId7" Type="http://schemas.openxmlformats.org/officeDocument/2006/relationships/image" Target="Centrale_nb2\Centrale_nb2g.png" TargetMode="External"/><Relationship Id="rId2" Type="http://schemas.openxmlformats.org/officeDocument/2006/relationships/image" Target="Centrale_nb2\Centrale_nb2b.png" TargetMode="External"/><Relationship Id="rId1" Type="http://schemas.openxmlformats.org/officeDocument/2006/relationships/image" Target="Centrale_nb2\Centrale_nb2a.png" TargetMode="External"/><Relationship Id="rId6" Type="http://schemas.openxmlformats.org/officeDocument/2006/relationships/image" Target="Centrale_nb2\Centrale_nb2f.png" TargetMode="External"/><Relationship Id="rId5" Type="http://schemas.openxmlformats.org/officeDocument/2006/relationships/image" Target="Centrale_nb2\Centrale_nb2e.png" TargetMode="External"/><Relationship Id="rId10" Type="http://schemas.openxmlformats.org/officeDocument/2006/relationships/image" Target="Centrale_nb2\Centrale_nb2j.png" TargetMode="External"/><Relationship Id="rId4" Type="http://schemas.openxmlformats.org/officeDocument/2006/relationships/image" Target="Centrale_nb2\Centrale_nb2d.png" TargetMode="External"/><Relationship Id="rId9" Type="http://schemas.openxmlformats.org/officeDocument/2006/relationships/image" Target="Centrale_nb2\Centrale_nb2i.png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10\Centrale_nb1_hiver-10h.png" TargetMode="External"/><Relationship Id="rId3" Type="http://schemas.openxmlformats.org/officeDocument/2006/relationships/image" Target="Centrale_nb1_hiver-10\Centrale_nb1_hiver-10c.png" TargetMode="External"/><Relationship Id="rId7" Type="http://schemas.openxmlformats.org/officeDocument/2006/relationships/image" Target="Centrale_nb1_hiver-10\Centrale_nb1_hiver-10g.png" TargetMode="External"/><Relationship Id="rId2" Type="http://schemas.openxmlformats.org/officeDocument/2006/relationships/image" Target="Centrale_nb1_hiver-10\Centrale_nb1_hiver-10b.png" TargetMode="External"/><Relationship Id="rId1" Type="http://schemas.openxmlformats.org/officeDocument/2006/relationships/image" Target="Centrale_nb1_hiver-10\Centrale_nb1_hiver-10a.png" TargetMode="External"/><Relationship Id="rId6" Type="http://schemas.openxmlformats.org/officeDocument/2006/relationships/image" Target="Centrale_nb1_hiver-10\Centrale_nb1_hiver-10f.png" TargetMode="External"/><Relationship Id="rId5" Type="http://schemas.openxmlformats.org/officeDocument/2006/relationships/image" Target="Centrale_nb1_hiver-10\Centrale_nb1_hiver-10e.png" TargetMode="External"/><Relationship Id="rId10" Type="http://schemas.openxmlformats.org/officeDocument/2006/relationships/image" Target="Centrale_nb1_hiver-10\Centrale_nb1_hiver-10j.png" TargetMode="External"/><Relationship Id="rId4" Type="http://schemas.openxmlformats.org/officeDocument/2006/relationships/image" Target="Centrale_nb1_hiver-10\Centrale_nb1_hiver-10d.png" TargetMode="External"/><Relationship Id="rId9" Type="http://schemas.openxmlformats.org/officeDocument/2006/relationships/image" Target="Centrale_nb1_hiver-10\Centrale_nb1_hiver-10i.png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9\Centrale_nb1_hiver-9h.png" TargetMode="External"/><Relationship Id="rId3" Type="http://schemas.openxmlformats.org/officeDocument/2006/relationships/image" Target="Centrale_nb1_hiver-9\Centrale_nb1_hiver-9c.png" TargetMode="External"/><Relationship Id="rId7" Type="http://schemas.openxmlformats.org/officeDocument/2006/relationships/image" Target="Centrale_nb1_hiver-9\Centrale_nb1_hiver-9g.png" TargetMode="External"/><Relationship Id="rId2" Type="http://schemas.openxmlformats.org/officeDocument/2006/relationships/image" Target="Centrale_nb1_hiver-9\Centrale_nb1_hiver-9b.png" TargetMode="External"/><Relationship Id="rId1" Type="http://schemas.openxmlformats.org/officeDocument/2006/relationships/image" Target="Centrale_nb1_hiver-9\Centrale_nb1_hiver-9a.png" TargetMode="External"/><Relationship Id="rId6" Type="http://schemas.openxmlformats.org/officeDocument/2006/relationships/image" Target="Centrale_nb1_hiver-9\Centrale_nb1_hiver-9f.png" TargetMode="External"/><Relationship Id="rId5" Type="http://schemas.openxmlformats.org/officeDocument/2006/relationships/image" Target="Centrale_nb1_hiver-9\Centrale_nb1_hiver-9e.png" TargetMode="External"/><Relationship Id="rId10" Type="http://schemas.openxmlformats.org/officeDocument/2006/relationships/image" Target="Centrale_nb1_hiver-9\Centrale_nb1_hiver-9j.png" TargetMode="External"/><Relationship Id="rId4" Type="http://schemas.openxmlformats.org/officeDocument/2006/relationships/image" Target="Centrale_nb1_hiver-9\Centrale_nb1_hiver-9d.png" TargetMode="External"/><Relationship Id="rId9" Type="http://schemas.openxmlformats.org/officeDocument/2006/relationships/image" Target="Centrale_nb1_hiver-9\Centrale_nb1_hiver-9i.png" TargetMode="Externa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8\Centrale_nb1_hiver-8h.png" TargetMode="External"/><Relationship Id="rId3" Type="http://schemas.openxmlformats.org/officeDocument/2006/relationships/image" Target="Centrale_nb1_hiver-8\Centrale_nb1_hiver-8c.png" TargetMode="External"/><Relationship Id="rId7" Type="http://schemas.openxmlformats.org/officeDocument/2006/relationships/image" Target="Centrale_nb1_hiver-8\Centrale_nb1_hiver-8g.png" TargetMode="External"/><Relationship Id="rId2" Type="http://schemas.openxmlformats.org/officeDocument/2006/relationships/image" Target="Centrale_nb1_hiver-8\Centrale_nb1_hiver-8b.png" TargetMode="External"/><Relationship Id="rId1" Type="http://schemas.openxmlformats.org/officeDocument/2006/relationships/image" Target="Centrale_nb1_hiver-8\Centrale_nb1_hiver-8a.png" TargetMode="External"/><Relationship Id="rId6" Type="http://schemas.openxmlformats.org/officeDocument/2006/relationships/image" Target="Centrale_nb1_hiver-8\Centrale_nb1_hiver-8f.png" TargetMode="External"/><Relationship Id="rId5" Type="http://schemas.openxmlformats.org/officeDocument/2006/relationships/image" Target="Centrale_nb1_hiver-8\Centrale_nb1_hiver-8e.png" TargetMode="External"/><Relationship Id="rId10" Type="http://schemas.openxmlformats.org/officeDocument/2006/relationships/image" Target="Centrale_nb1_hiver-8\Centrale_nb1_hiver-8j.png" TargetMode="External"/><Relationship Id="rId4" Type="http://schemas.openxmlformats.org/officeDocument/2006/relationships/image" Target="Centrale_nb1_hiver-8\Centrale_nb1_hiver-8d.png" TargetMode="External"/><Relationship Id="rId9" Type="http://schemas.openxmlformats.org/officeDocument/2006/relationships/image" Target="Centrale_nb1_hiver-8\Centrale_nb1_hiver-8i.png" TargetMode="Externa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7\Centrale_nb1_hiver-7h.png" TargetMode="External"/><Relationship Id="rId3" Type="http://schemas.openxmlformats.org/officeDocument/2006/relationships/image" Target="Centrale_nb1_hiver-7\Centrale_nb1_hiver-7c.png" TargetMode="External"/><Relationship Id="rId7" Type="http://schemas.openxmlformats.org/officeDocument/2006/relationships/image" Target="Centrale_nb1_hiver-7\Centrale_nb1_hiver-7g.png" TargetMode="External"/><Relationship Id="rId2" Type="http://schemas.openxmlformats.org/officeDocument/2006/relationships/image" Target="Centrale_nb1_hiver-7\Centrale_nb1_hiver-7b.png" TargetMode="External"/><Relationship Id="rId1" Type="http://schemas.openxmlformats.org/officeDocument/2006/relationships/image" Target="Centrale_nb1_hiver-7\Centrale_nb1_hiver-7a.png" TargetMode="External"/><Relationship Id="rId6" Type="http://schemas.openxmlformats.org/officeDocument/2006/relationships/image" Target="Centrale_nb1_hiver-7\Centrale_nb1_hiver-7f.png" TargetMode="External"/><Relationship Id="rId5" Type="http://schemas.openxmlformats.org/officeDocument/2006/relationships/image" Target="Centrale_nb1_hiver-7\Centrale_nb1_hiver-7e.png" TargetMode="External"/><Relationship Id="rId10" Type="http://schemas.openxmlformats.org/officeDocument/2006/relationships/image" Target="Centrale_nb1_hiver-7\Centrale_nb1_hiver-7j.png" TargetMode="External"/><Relationship Id="rId4" Type="http://schemas.openxmlformats.org/officeDocument/2006/relationships/image" Target="Centrale_nb1_hiver-7\Centrale_nb1_hiver-7d.png" TargetMode="External"/><Relationship Id="rId9" Type="http://schemas.openxmlformats.org/officeDocument/2006/relationships/image" Target="Centrale_nb1_hiver-7\Centrale_nb1_hiver-7i.pn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6\Centrale_nb1_hiver-6h.png" TargetMode="External"/><Relationship Id="rId3" Type="http://schemas.openxmlformats.org/officeDocument/2006/relationships/image" Target="Centrale_nb1_hiver-6\Centrale_nb1_hiver-6c.png" TargetMode="External"/><Relationship Id="rId7" Type="http://schemas.openxmlformats.org/officeDocument/2006/relationships/image" Target="Centrale_nb1_hiver-6\Centrale_nb1_hiver-6g.png" TargetMode="External"/><Relationship Id="rId2" Type="http://schemas.openxmlformats.org/officeDocument/2006/relationships/image" Target="Centrale_nb1_hiver-6\Centrale_nb1_hiver-6b.png" TargetMode="External"/><Relationship Id="rId1" Type="http://schemas.openxmlformats.org/officeDocument/2006/relationships/image" Target="Centrale_nb1_hiver-6\Centrale_nb1_hiver-6a.png" TargetMode="External"/><Relationship Id="rId6" Type="http://schemas.openxmlformats.org/officeDocument/2006/relationships/image" Target="Centrale_nb1_hiver-6\Centrale_nb1_hiver-6f.png" TargetMode="External"/><Relationship Id="rId5" Type="http://schemas.openxmlformats.org/officeDocument/2006/relationships/image" Target="Centrale_nb1_hiver-6\Centrale_nb1_hiver-6e.png" TargetMode="External"/><Relationship Id="rId10" Type="http://schemas.openxmlformats.org/officeDocument/2006/relationships/image" Target="Centrale_nb1_hiver-6\Centrale_nb1_hiver-6j.png" TargetMode="External"/><Relationship Id="rId4" Type="http://schemas.openxmlformats.org/officeDocument/2006/relationships/image" Target="Centrale_nb1_hiver-6\Centrale_nb1_hiver-6d.png" TargetMode="External"/><Relationship Id="rId9" Type="http://schemas.openxmlformats.org/officeDocument/2006/relationships/image" Target="Centrale_nb1_hiver-6\Centrale_nb1_hiver-6i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5\Centrale_nb1_hiver-5d.png" TargetMode="External"/><Relationship Id="rId13" Type="http://schemas.openxmlformats.org/officeDocument/2006/relationships/image" Target="Centrale_nb1_hiver-5\Centrale_nb1_hiver-5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hiver-5\Centrale_nb1_hiver-5c.png" TargetMode="External"/><Relationship Id="rId12" Type="http://schemas.openxmlformats.org/officeDocument/2006/relationships/image" Target="Centrale_nb1_hiver-5\Centrale_nb1_hiver-5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hiver-5\Centrale_nb1_hiver-5b.png" TargetMode="External"/><Relationship Id="rId11" Type="http://schemas.openxmlformats.org/officeDocument/2006/relationships/image" Target="Centrale_nb1_hiver-5\Centrale_nb1_hiver-5g.png" TargetMode="External"/><Relationship Id="rId5" Type="http://schemas.openxmlformats.org/officeDocument/2006/relationships/image" Target="Centrale_nb1_hiver-5\Centrale_nb1_hiver-5a.png" TargetMode="External"/><Relationship Id="rId10" Type="http://schemas.openxmlformats.org/officeDocument/2006/relationships/image" Target="Centrale_nb1_hiver-5\Centrale_nb1_hiver-5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hiver-5\Centrale_nb1_hiver-5e.png" TargetMode="External"/><Relationship Id="rId14" Type="http://schemas.openxmlformats.org/officeDocument/2006/relationships/image" Target="Centrale_nb1_hiver-5\Centrale_nb1_hiver-5j.png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Centrale_nom_&#233;tendue\Centrale_nom_&#233;tendue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4" Type="http://schemas.openxmlformats.org/officeDocument/2006/relationships/image" Target="Centrale_nom_balanc&#233;e-1\Centrale_nom_balanc&#233;e-1h.png" TargetMode="Externa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3\Centrale_nb1_hiver-3d.png" TargetMode="External"/><Relationship Id="rId13" Type="http://schemas.openxmlformats.org/officeDocument/2006/relationships/image" Target="Centrale_nb1_hiver-3\Centrale_nb1_hiver-3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hiver-3\Centrale_nb1_hiver-3c.png" TargetMode="External"/><Relationship Id="rId12" Type="http://schemas.openxmlformats.org/officeDocument/2006/relationships/image" Target="Centrale_nb1_hiver-3\Centrale_nb1_hiver-3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hiver-3\Centrale_nb1_hiver-3b.png" TargetMode="External"/><Relationship Id="rId11" Type="http://schemas.openxmlformats.org/officeDocument/2006/relationships/image" Target="Centrale_nb1_hiver-3\Centrale_nb1_hiver-3g.png" TargetMode="External"/><Relationship Id="rId5" Type="http://schemas.openxmlformats.org/officeDocument/2006/relationships/image" Target="Centrale_nb1_hiver-3\Centrale_nb1_hiver-3a.png" TargetMode="External"/><Relationship Id="rId10" Type="http://schemas.openxmlformats.org/officeDocument/2006/relationships/image" Target="Centrale_nb1_hiver-3\Centrale_nb1_hiver-3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hiver-3\Centrale_nb1_hiver-3e.png" TargetMode="External"/><Relationship Id="rId14" Type="http://schemas.openxmlformats.org/officeDocument/2006/relationships/image" Target="Centrale_nb1_hiver-3\Centrale_nb1_hiver-3j.png" TargetMode="Externa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2\Centrale_nb1_hiver-2d.png" TargetMode="External"/><Relationship Id="rId13" Type="http://schemas.openxmlformats.org/officeDocument/2006/relationships/image" Target="Centrale_nb1_hiver-2\Centrale_nb1_hiver-2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hiver-2\Centrale_nb1_hiver-2c.png" TargetMode="External"/><Relationship Id="rId12" Type="http://schemas.openxmlformats.org/officeDocument/2006/relationships/image" Target="Centrale_nb1_hiver-2\Centrale_nb1_hiver-2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hiver-2\Centrale_nb1_hiver-2b.png" TargetMode="External"/><Relationship Id="rId11" Type="http://schemas.openxmlformats.org/officeDocument/2006/relationships/image" Target="Centrale_nb1_hiver-2\Centrale_nb1_hiver-2g.png" TargetMode="External"/><Relationship Id="rId5" Type="http://schemas.openxmlformats.org/officeDocument/2006/relationships/image" Target="Centrale_nb1_hiver-2\Centrale_nb1_hiver-2a.png" TargetMode="External"/><Relationship Id="rId10" Type="http://schemas.openxmlformats.org/officeDocument/2006/relationships/image" Target="Centrale_nb1_hiver-2\Centrale_nb1_hiver-2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hiver-2\Centrale_nb1_hiver-2e.png" TargetMode="External"/><Relationship Id="rId14" Type="http://schemas.openxmlformats.org/officeDocument/2006/relationships/image" Target="Centrale_nb1_hiver-2\Centrale_nb1_hiver-2j.png" TargetMode="Externa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-1\Centrale_nb1_hiver-1d.png" TargetMode="External"/><Relationship Id="rId13" Type="http://schemas.openxmlformats.org/officeDocument/2006/relationships/image" Target="Centrale_nb1_hiver-1\Centrale_nb1_hiver-1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hiver-1\Centrale_nb1_hiver-1c.png" TargetMode="External"/><Relationship Id="rId12" Type="http://schemas.openxmlformats.org/officeDocument/2006/relationships/image" Target="Centrale_nb1_hiver-1\Centrale_nb1_hiver-1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hiver-1\Centrale_nb1_hiver-1b.png" TargetMode="External"/><Relationship Id="rId11" Type="http://schemas.openxmlformats.org/officeDocument/2006/relationships/image" Target="Centrale_nb1_hiver-1\Centrale_nb1_hiver-1g.png" TargetMode="External"/><Relationship Id="rId5" Type="http://schemas.openxmlformats.org/officeDocument/2006/relationships/image" Target="Centrale_nb1_hiver-1\Centrale_nb1_hiver-1a.png" TargetMode="External"/><Relationship Id="rId10" Type="http://schemas.openxmlformats.org/officeDocument/2006/relationships/image" Target="Centrale_nb1_hiver-1\Centrale_nb1_hiver-1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hiver-1\Centrale_nb1_hiver-1e.png" TargetMode="External"/><Relationship Id="rId14" Type="http://schemas.openxmlformats.org/officeDocument/2006/relationships/image" Target="Centrale_nb1_hiver-1\Centrale_nb1_hiver-1j.png" TargetMode="Externa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\Centrale_nb1_hiverd.png" TargetMode="External"/><Relationship Id="rId13" Type="http://schemas.openxmlformats.org/officeDocument/2006/relationships/image" Target="Centrale_nb1_hiver\Centrale_nb1_hiver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hiver\Centrale_nb1_hiverc.png" TargetMode="External"/><Relationship Id="rId12" Type="http://schemas.openxmlformats.org/officeDocument/2006/relationships/image" Target="Centrale_nb1_hiver\Centrale_nb1_hiver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hiver\Centrale_nb1_hiverb.png" TargetMode="External"/><Relationship Id="rId11" Type="http://schemas.openxmlformats.org/officeDocument/2006/relationships/image" Target="Centrale_nb1_hiver\Centrale_nb1_hiverg.png" TargetMode="External"/><Relationship Id="rId5" Type="http://schemas.openxmlformats.org/officeDocument/2006/relationships/image" Target="Centrale_nb1_hiver\Centrale_nb1_hivera.png" TargetMode="External"/><Relationship Id="rId10" Type="http://schemas.openxmlformats.org/officeDocument/2006/relationships/image" Target="Centrale_nb1_hiver\Centrale_nb1_hiver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hiver\Centrale_nb1_hivere.png" TargetMode="External"/><Relationship Id="rId14" Type="http://schemas.openxmlformats.org/officeDocument/2006/relationships/image" Target="Centrale_nb1_hiver\Centrale_nb1_hiverj.png" TargetMode="Externa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Centrale_nb1_&#233;t&#233;\Centrale_nb1_&#233;t&#233;d.png" TargetMode="External"/><Relationship Id="rId13" Type="http://schemas.openxmlformats.org/officeDocument/2006/relationships/image" Target="Centrale_nb1_&#233;t&#233;\Centrale_nb1_&#233;t&#233;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&#233;t&#233;\Centrale_nb1_&#233;t&#233;c.png" TargetMode="External"/><Relationship Id="rId12" Type="http://schemas.openxmlformats.org/officeDocument/2006/relationships/image" Target="Centrale_nb1_&#233;t&#233;\Centrale_nb1_&#233;t&#233;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&#233;t&#233;\Centrale_nb1_&#233;t&#233;b.png" TargetMode="External"/><Relationship Id="rId11" Type="http://schemas.openxmlformats.org/officeDocument/2006/relationships/image" Target="Centrale_nb1_&#233;t&#233;\Centrale_nb1_&#233;t&#233;g.png" TargetMode="External"/><Relationship Id="rId5" Type="http://schemas.openxmlformats.org/officeDocument/2006/relationships/image" Target="Centrale_nb1_&#233;t&#233;\Centrale_nb1_&#233;t&#233;a.png" TargetMode="External"/><Relationship Id="rId10" Type="http://schemas.openxmlformats.org/officeDocument/2006/relationships/image" Target="Centrale_nb1_&#233;t&#233;\Centrale_nb1_&#233;t&#233;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&#233;t&#233;\Centrale_nb1_&#233;t&#233;e.png" TargetMode="External"/><Relationship Id="rId14" Type="http://schemas.openxmlformats.org/officeDocument/2006/relationships/image" Target="Centrale_nb1_&#233;t&#233;\Centrale_nb1_&#233;t&#233;j.png" TargetMode="Externa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Centrale_nom\Centrale_nome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om\Centrale_nomd.png" TargetMode="External"/><Relationship Id="rId12" Type="http://schemas.openxmlformats.org/officeDocument/2006/relationships/image" Target="Centrale_nom\Centrale_nomj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\Centrale_nomc.png" TargetMode="External"/><Relationship Id="rId11" Type="http://schemas.openxmlformats.org/officeDocument/2006/relationships/image" Target="Centrale_nom\Centrale_nomi.png" TargetMode="External"/><Relationship Id="rId5" Type="http://schemas.openxmlformats.org/officeDocument/2006/relationships/image" Target="Centrale_nom\Centrale_nomb.png" TargetMode="External"/><Relationship Id="rId10" Type="http://schemas.openxmlformats.org/officeDocument/2006/relationships/image" Target="Centrale_nom\Centrale_nomg.png" TargetMode="External"/><Relationship Id="rId4" Type="http://schemas.openxmlformats.org/officeDocument/2006/relationships/image" Target="Centrale_nom\Centrale_noma.png" TargetMode="External"/><Relationship Id="rId9" Type="http://schemas.openxmlformats.org/officeDocument/2006/relationships/image" Target="Centrale_nom\Centrale_nomf.png" TargetMode="Externa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Centrale_nom_balanc&#233;e-1\Centrale_nom_balanc&#233;e-1e.png" TargetMode="External"/><Relationship Id="rId13" Type="http://schemas.openxmlformats.org/officeDocument/2006/relationships/image" Target="Centrale_nom_balanc&#233;e-1\Centrale_nom_balanc&#233;e-1j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om_balanc&#233;e-1\Centrale_nom_balanc&#233;e-1d.png" TargetMode="External"/><Relationship Id="rId12" Type="http://schemas.openxmlformats.org/officeDocument/2006/relationships/image" Target="Centrale_nom_balanc&#233;e-1\Centrale_nom_balanc&#233;e-1i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balanc&#233;e-1\Centrale_nom_balanc&#233;e-1c.png" TargetMode="External"/><Relationship Id="rId11" Type="http://schemas.openxmlformats.org/officeDocument/2006/relationships/image" Target="Centrale_nom_balanc&#233;e-1\Centrale_nom_balanc&#233;e-1h.png" TargetMode="External"/><Relationship Id="rId5" Type="http://schemas.openxmlformats.org/officeDocument/2006/relationships/image" Target="Centrale_nom_balanc&#233;e-1\Centrale_nom_balanc&#233;e-1b.png" TargetMode="External"/><Relationship Id="rId10" Type="http://schemas.openxmlformats.org/officeDocument/2006/relationships/image" Target="Centrale_nom_balanc&#233;e-1\Centrale_nom_balanc&#233;e-1g.png" TargetMode="External"/><Relationship Id="rId4" Type="http://schemas.openxmlformats.org/officeDocument/2006/relationships/image" Target="Centrale_nom_balanc&#233;e-1\Centrale_nom_balanc&#233;e-1a.png" TargetMode="External"/><Relationship Id="rId9" Type="http://schemas.openxmlformats.org/officeDocument/2006/relationships/image" Target="Centrale_nom_balanc&#233;e-1\Centrale_nom_balanc&#233;e-1f.png" TargetMode="Externa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Centrale_nom_balanc&#233;e\Centrale_nom_balanc&#233;ef.png" TargetMode="External"/><Relationship Id="rId3" Type="http://schemas.openxmlformats.org/officeDocument/2006/relationships/image" Target="Centrale_nom_balanc&#233;e\Centrale_nom_balanc&#233;ea.png" TargetMode="External"/><Relationship Id="rId7" Type="http://schemas.openxmlformats.org/officeDocument/2006/relationships/image" Target="Centrale_nom_balanc&#233;e\Centrale_nom_balanc&#233;ee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balanc&#233;e\Centrale_nom_balanc&#233;ed.png" TargetMode="External"/><Relationship Id="rId11" Type="http://schemas.openxmlformats.org/officeDocument/2006/relationships/image" Target="Centrale_nom_balanc&#233;e\Centrale_nom_balanc&#233;ej.png" TargetMode="External"/><Relationship Id="rId5" Type="http://schemas.openxmlformats.org/officeDocument/2006/relationships/image" Target="Centrale_nom_balanc&#233;e\Centrale_nom_balanc&#233;ec.png" TargetMode="External"/><Relationship Id="rId10" Type="http://schemas.openxmlformats.org/officeDocument/2006/relationships/image" Target="Centrale_nom_balanc&#233;e\Centrale_nom_balanc&#233;ei.png" TargetMode="External"/><Relationship Id="rId4" Type="http://schemas.openxmlformats.org/officeDocument/2006/relationships/image" Target="Centrale_nom_balanc&#233;e\Centrale_nom_balanc&#233;eb.png" TargetMode="External"/><Relationship Id="rId9" Type="http://schemas.openxmlformats.org/officeDocument/2006/relationships/image" Target="Centrale_nom_balanc&#233;e\Centrale_nom_balanc&#233;eg.png" TargetMode="Externa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Centrale_nom_hiv_riv\Centrale_nom_hiv_rivg.png" TargetMode="External"/><Relationship Id="rId3" Type="http://schemas.openxmlformats.org/officeDocument/2006/relationships/image" Target="Centrale_nom_hiv_riv\Centrale_nom_hiv_rivb.png" TargetMode="External"/><Relationship Id="rId7" Type="http://schemas.openxmlformats.org/officeDocument/2006/relationships/image" Target="Centrale_nom_hiv_riv\Centrale_nom_hiv_rivf.png" TargetMode="External"/><Relationship Id="rId2" Type="http://schemas.openxmlformats.org/officeDocument/2006/relationships/image" Target="Centrale_nom_hiv_riv\Centrale_nom_hiv_riva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hiv_riv\Centrale_nom_hiv_rive.png" TargetMode="External"/><Relationship Id="rId11" Type="http://schemas.openxmlformats.org/officeDocument/2006/relationships/image" Target="Centrale_nom_hiv_riv\Centrale_nom_hiv_rivj.png" TargetMode="External"/><Relationship Id="rId5" Type="http://schemas.openxmlformats.org/officeDocument/2006/relationships/image" Target="Centrale_nom_hiv_riv\Centrale_nom_hiv_rivd.png" TargetMode="External"/><Relationship Id="rId10" Type="http://schemas.openxmlformats.org/officeDocument/2006/relationships/image" Target="Centrale_nom_hiv_riv\Centrale_nom_hiv_rivi.png" TargetMode="External"/><Relationship Id="rId4" Type="http://schemas.openxmlformats.org/officeDocument/2006/relationships/image" Target="Centrale_nom_hiv_riv\Centrale_nom_hiv_rivc.png" TargetMode="External"/><Relationship Id="rId9" Type="http://schemas.openxmlformats.org/officeDocument/2006/relationships/image" Target="Centrale_nom_hiv_riv\Centrale_nom_hiv_rivh.png" TargetMode="Externa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Centrale_nom_hmoyen\Centrale_nom_hmoyeng.png" TargetMode="External"/><Relationship Id="rId3" Type="http://schemas.openxmlformats.org/officeDocument/2006/relationships/image" Target="Centrale_nom_hmoyen\Centrale_nom_hmoyenb.png" TargetMode="External"/><Relationship Id="rId7" Type="http://schemas.openxmlformats.org/officeDocument/2006/relationships/image" Target="Centrale_nom_hmoyen\Centrale_nom_hmoyenf.png" TargetMode="External"/><Relationship Id="rId2" Type="http://schemas.openxmlformats.org/officeDocument/2006/relationships/image" Target="Centrale_nom_hmoyen\Centrale_nom_hmoyena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hmoyen\Centrale_nom_hmoyene.png" TargetMode="External"/><Relationship Id="rId11" Type="http://schemas.openxmlformats.org/officeDocument/2006/relationships/image" Target="Centrale_nom_hmoyen\Centrale_nom_hmoyenj.png" TargetMode="External"/><Relationship Id="rId5" Type="http://schemas.openxmlformats.org/officeDocument/2006/relationships/image" Target="Centrale_nom_hmoyen\Centrale_nom_hmoyend.png" TargetMode="External"/><Relationship Id="rId10" Type="http://schemas.openxmlformats.org/officeDocument/2006/relationships/image" Target="Centrale_nom_hmoyen\Centrale_nom_hmoyeni.png" TargetMode="External"/><Relationship Id="rId4" Type="http://schemas.openxmlformats.org/officeDocument/2006/relationships/image" Target="Centrale_nom_hmoyen\Centrale_nom_hmoyenc.png" TargetMode="External"/><Relationship Id="rId9" Type="http://schemas.openxmlformats.org/officeDocument/2006/relationships/image" Target="Centrale_nom_hmoyen\Centrale_nom_hmoyenh.png" TargetMode="Externa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Centrale_charbon_3&#233;tages\Centrale_charbon_3&#233;tagesh.png" TargetMode="External"/><Relationship Id="rId3" Type="http://schemas.openxmlformats.org/officeDocument/2006/relationships/image" Target="Centrale_charbon_3&#233;tages\Centrale_charbon_3&#233;tagesc.png" TargetMode="External"/><Relationship Id="rId7" Type="http://schemas.openxmlformats.org/officeDocument/2006/relationships/image" Target="Centrale_charbon_3&#233;tages\Centrale_charbon_3&#233;tagesg.png" TargetMode="External"/><Relationship Id="rId2" Type="http://schemas.openxmlformats.org/officeDocument/2006/relationships/image" Target="Centrale_charbon_3&#233;tages\Centrale_charbon_3&#233;tagesb.png" TargetMode="External"/><Relationship Id="rId1" Type="http://schemas.openxmlformats.org/officeDocument/2006/relationships/image" Target="Centrale_charbon_3&#233;tages\Centrale_charbon_3&#233;tagesa.png" TargetMode="External"/><Relationship Id="rId6" Type="http://schemas.openxmlformats.org/officeDocument/2006/relationships/image" Target="Centrale_charbon_3&#233;tages\Centrale_charbon_3&#233;tagesf.png" TargetMode="External"/><Relationship Id="rId5" Type="http://schemas.openxmlformats.org/officeDocument/2006/relationships/image" Target="Centrale_charbon_3&#233;tages\Centrale_charbon_3&#233;tagese.png" TargetMode="External"/><Relationship Id="rId10" Type="http://schemas.openxmlformats.org/officeDocument/2006/relationships/image" Target="Centrale_charbon_3&#233;tages\Centrale_charbon_3&#233;tagesj.png" TargetMode="External"/><Relationship Id="rId4" Type="http://schemas.openxmlformats.org/officeDocument/2006/relationships/image" Target="Centrale_charbon_3&#233;tages\Centrale_charbon_3&#233;tagesd.png" TargetMode="External"/><Relationship Id="rId9" Type="http://schemas.openxmlformats.org/officeDocument/2006/relationships/image" Target="Centrale_charbon_3&#233;tages\Centrale_charbon_3&#233;tagesi.png" TargetMode="Externa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Centrale_biomasse_0&#233;tages\Centrale_biomasse_0&#233;tagesh.png" TargetMode="External"/><Relationship Id="rId3" Type="http://schemas.openxmlformats.org/officeDocument/2006/relationships/image" Target="Centrale_biomasse_0&#233;tages\Centrale_biomasse_0&#233;tagesc.png" TargetMode="External"/><Relationship Id="rId7" Type="http://schemas.openxmlformats.org/officeDocument/2006/relationships/image" Target="Centrale_biomasse_0&#233;tages\Centrale_biomasse_0&#233;tagesg.png" TargetMode="External"/><Relationship Id="rId2" Type="http://schemas.openxmlformats.org/officeDocument/2006/relationships/image" Target="Centrale_biomasse_0&#233;tages\Centrale_biomasse_0&#233;tagesb.png" TargetMode="External"/><Relationship Id="rId1" Type="http://schemas.openxmlformats.org/officeDocument/2006/relationships/image" Target="Centrale_biomasse_0&#233;tages\Centrale_biomasse_0&#233;tagesa.png" TargetMode="External"/><Relationship Id="rId6" Type="http://schemas.openxmlformats.org/officeDocument/2006/relationships/image" Target="Centrale_biomasse_0&#233;tages\Centrale_biomasse_0&#233;tagesf.png" TargetMode="External"/><Relationship Id="rId5" Type="http://schemas.openxmlformats.org/officeDocument/2006/relationships/image" Target="Centrale_biomasse_0&#233;tages\Centrale_biomasse_0&#233;tagese.png" TargetMode="External"/><Relationship Id="rId10" Type="http://schemas.openxmlformats.org/officeDocument/2006/relationships/image" Target="Centrale_biomasse_0&#233;tages\Centrale_biomasse_0&#233;tagesj.png" TargetMode="External"/><Relationship Id="rId4" Type="http://schemas.openxmlformats.org/officeDocument/2006/relationships/image" Target="Centrale_biomasse_0&#233;tages\Centrale_biomasse_0&#233;tagesd.png" TargetMode="External"/><Relationship Id="rId9" Type="http://schemas.openxmlformats.org/officeDocument/2006/relationships/image" Target="Centrale_biomasse_0&#233;tages\Centrale_biomasse_0&#233;tagesi.png" TargetMode="Externa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Centrale_nom_hiver\Centrale_nom_hiverh.png" TargetMode="External"/><Relationship Id="rId3" Type="http://schemas.openxmlformats.org/officeDocument/2006/relationships/image" Target="Centrale_nom_hiver\Centrale_nom_hiverc.png" TargetMode="External"/><Relationship Id="rId7" Type="http://schemas.openxmlformats.org/officeDocument/2006/relationships/image" Target="Centrale_nom_hiver\Centrale_nom_hiverg.png" TargetMode="External"/><Relationship Id="rId2" Type="http://schemas.openxmlformats.org/officeDocument/2006/relationships/image" Target="Centrale_nom_hiver\Centrale_nom_hiverb.png" TargetMode="External"/><Relationship Id="rId1" Type="http://schemas.openxmlformats.org/officeDocument/2006/relationships/image" Target="Centrale_nom_hiver\Centrale_nom_hivera.png" TargetMode="External"/><Relationship Id="rId6" Type="http://schemas.openxmlformats.org/officeDocument/2006/relationships/image" Target="Centrale_nom_hiver\Centrale_nom_hiverf.png" TargetMode="External"/><Relationship Id="rId5" Type="http://schemas.openxmlformats.org/officeDocument/2006/relationships/image" Target="Centrale_nom_hiver\Centrale_nom_hivere.png" TargetMode="External"/><Relationship Id="rId10" Type="http://schemas.openxmlformats.org/officeDocument/2006/relationships/image" Target="Centrale_nom_hiver\Centrale_nom_hiverj.png" TargetMode="External"/><Relationship Id="rId4" Type="http://schemas.openxmlformats.org/officeDocument/2006/relationships/image" Target="Centrale_nom_hiver\Centrale_nom_hiverd.png" TargetMode="External"/><Relationship Id="rId9" Type="http://schemas.openxmlformats.org/officeDocument/2006/relationships/image" Target="Centrale_nom_hiver\Centrale_nom_hiveri.png" TargetMode="Externa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Centrale_0etages_biom_corr\Centrale_0etages_biom_corrh.png" TargetMode="External"/><Relationship Id="rId3" Type="http://schemas.openxmlformats.org/officeDocument/2006/relationships/image" Target="Centrale_0etages_biom_corr\Centrale_0etages_biom_corrc.png" TargetMode="External"/><Relationship Id="rId7" Type="http://schemas.openxmlformats.org/officeDocument/2006/relationships/image" Target="Centrale_0etages_biom_corr\Centrale_0etages_biom_corrg.png" TargetMode="External"/><Relationship Id="rId2" Type="http://schemas.openxmlformats.org/officeDocument/2006/relationships/image" Target="Centrale_0etages_biom_corr\Centrale_0etages_biom_corrb.png" TargetMode="External"/><Relationship Id="rId1" Type="http://schemas.openxmlformats.org/officeDocument/2006/relationships/image" Target="Centrale_0etages_biom_corr\Centrale_0etages_biom_corra.png" TargetMode="External"/><Relationship Id="rId6" Type="http://schemas.openxmlformats.org/officeDocument/2006/relationships/image" Target="Centrale_0etages_biom_corr\Centrale_0etages_biom_corrf.png" TargetMode="External"/><Relationship Id="rId5" Type="http://schemas.openxmlformats.org/officeDocument/2006/relationships/image" Target="Centrale_0etages_biom_corr\Centrale_0etages_biom_corre.png" TargetMode="External"/><Relationship Id="rId10" Type="http://schemas.openxmlformats.org/officeDocument/2006/relationships/image" Target="Centrale_0etages_biom_corr\Centrale_0etages_biom_corrj.png" TargetMode="External"/><Relationship Id="rId4" Type="http://schemas.openxmlformats.org/officeDocument/2006/relationships/image" Target="Centrale_0etages_biom_corr\Centrale_0etages_biom_corrd.png" TargetMode="External"/><Relationship Id="rId9" Type="http://schemas.openxmlformats.org/officeDocument/2006/relationships/image" Target="Centrale_0etages_biom_corr\Centrale_0etages_biom_corri.png" TargetMode="Externa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Centrale_0etages_biom\Centrale_0etages_biomh.png" TargetMode="External"/><Relationship Id="rId3" Type="http://schemas.openxmlformats.org/officeDocument/2006/relationships/image" Target="Centrale_0etages_biom\Centrale_0etages_biomc.png" TargetMode="External"/><Relationship Id="rId7" Type="http://schemas.openxmlformats.org/officeDocument/2006/relationships/image" Target="Centrale_0etages_biom\Centrale_0etages_biomg.png" TargetMode="External"/><Relationship Id="rId2" Type="http://schemas.openxmlformats.org/officeDocument/2006/relationships/image" Target="Centrale_0etages_biom\Centrale_0etages_biomb.png" TargetMode="External"/><Relationship Id="rId1" Type="http://schemas.openxmlformats.org/officeDocument/2006/relationships/image" Target="Centrale_0etages_biom\Centrale_0etages_bioma.png" TargetMode="External"/><Relationship Id="rId6" Type="http://schemas.openxmlformats.org/officeDocument/2006/relationships/image" Target="Centrale_0etages_biom\Centrale_0etages_biomf.png" TargetMode="External"/><Relationship Id="rId5" Type="http://schemas.openxmlformats.org/officeDocument/2006/relationships/image" Target="Centrale_0etages_biom\Centrale_0etages_biome.png" TargetMode="External"/><Relationship Id="rId10" Type="http://schemas.openxmlformats.org/officeDocument/2006/relationships/image" Target="Centrale_0etages_biom\Centrale_0etages_biomj.png" TargetMode="External"/><Relationship Id="rId4" Type="http://schemas.openxmlformats.org/officeDocument/2006/relationships/image" Target="Centrale_0etages_biom\Centrale_0etages_biomd.png" TargetMode="External"/><Relationship Id="rId9" Type="http://schemas.openxmlformats.org/officeDocument/2006/relationships/image" Target="Centrale_0etages_biom\Centrale_0etages_biomi.png" TargetMode="Externa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Centrale_2etages_biom\Centrale_2etages_biomh.png" TargetMode="External"/><Relationship Id="rId3" Type="http://schemas.openxmlformats.org/officeDocument/2006/relationships/image" Target="Centrale_2etages_biom\Centrale_2etages_biomc.png" TargetMode="External"/><Relationship Id="rId7" Type="http://schemas.openxmlformats.org/officeDocument/2006/relationships/image" Target="Centrale_2etages_biom\Centrale_2etages_biomg.png" TargetMode="External"/><Relationship Id="rId2" Type="http://schemas.openxmlformats.org/officeDocument/2006/relationships/image" Target="Centrale_2etages_biom\Centrale_2etages_biomb.png" TargetMode="External"/><Relationship Id="rId1" Type="http://schemas.openxmlformats.org/officeDocument/2006/relationships/image" Target="Centrale_2etages_biom\Centrale_2etages_bioma.png" TargetMode="External"/><Relationship Id="rId6" Type="http://schemas.openxmlformats.org/officeDocument/2006/relationships/image" Target="Centrale_2etages_biom\Centrale_2etages_biomf.png" TargetMode="External"/><Relationship Id="rId5" Type="http://schemas.openxmlformats.org/officeDocument/2006/relationships/image" Target="Centrale_2etages_biom\Centrale_2etages_biome.png" TargetMode="External"/><Relationship Id="rId10" Type="http://schemas.openxmlformats.org/officeDocument/2006/relationships/image" Target="Centrale_2etages_biom\Centrale_2etages_biomj.png" TargetMode="External"/><Relationship Id="rId4" Type="http://schemas.openxmlformats.org/officeDocument/2006/relationships/image" Target="Centrale_2etages_biom\Centrale_2etages_biomd.png" TargetMode="External"/><Relationship Id="rId9" Type="http://schemas.openxmlformats.org/officeDocument/2006/relationships/image" Target="Centrale_2etages_biom\Centrale_2etages_biomi.png" TargetMode="Externa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Centrale_4etages_charb\Centrale_4etages_charbh.png" TargetMode="External"/><Relationship Id="rId3" Type="http://schemas.openxmlformats.org/officeDocument/2006/relationships/image" Target="Centrale_4etages_charb\Centrale_4etages_charbc.png" TargetMode="External"/><Relationship Id="rId7" Type="http://schemas.openxmlformats.org/officeDocument/2006/relationships/image" Target="Centrale_4etages_charb\Centrale_4etages_charbg.png" TargetMode="External"/><Relationship Id="rId2" Type="http://schemas.openxmlformats.org/officeDocument/2006/relationships/image" Target="Centrale_4etages_charb\Centrale_4etages_charbb.png" TargetMode="External"/><Relationship Id="rId1" Type="http://schemas.openxmlformats.org/officeDocument/2006/relationships/image" Target="Centrale_4etages_charb\Centrale_4etages_charba.png" TargetMode="External"/><Relationship Id="rId6" Type="http://schemas.openxmlformats.org/officeDocument/2006/relationships/image" Target="Centrale_4etages_charb\Centrale_4etages_charbf.png" TargetMode="External"/><Relationship Id="rId5" Type="http://schemas.openxmlformats.org/officeDocument/2006/relationships/image" Target="Centrale_4etages_charb\Centrale_4etages_charbe.png" TargetMode="External"/><Relationship Id="rId10" Type="http://schemas.openxmlformats.org/officeDocument/2006/relationships/image" Target="Centrale_4etages_charb\Centrale_4etages_charbj.png" TargetMode="External"/><Relationship Id="rId4" Type="http://schemas.openxmlformats.org/officeDocument/2006/relationships/image" Target="Centrale_4etages_charb\Centrale_4etages_charbd.png" TargetMode="External"/><Relationship Id="rId9" Type="http://schemas.openxmlformats.org/officeDocument/2006/relationships/image" Target="Centrale_4etages_charb\Centrale_4etages_charbi.png" TargetMode="External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Centrale_hiv_sout\Centrale_hiv_south.png" TargetMode="External"/><Relationship Id="rId3" Type="http://schemas.openxmlformats.org/officeDocument/2006/relationships/image" Target="Centrale_hiv_sout\Centrale_hiv_soutc.png" TargetMode="External"/><Relationship Id="rId7" Type="http://schemas.openxmlformats.org/officeDocument/2006/relationships/image" Target="Centrale_hiv_sout\Centrale_hiv_soutg.png" TargetMode="External"/><Relationship Id="rId2" Type="http://schemas.openxmlformats.org/officeDocument/2006/relationships/image" Target="Centrale_hiv_sout\Centrale_hiv_soutb.png" TargetMode="External"/><Relationship Id="rId1" Type="http://schemas.openxmlformats.org/officeDocument/2006/relationships/image" Target="Centrale_hiv_sout\Centrale_hiv_souta.png" TargetMode="External"/><Relationship Id="rId6" Type="http://schemas.openxmlformats.org/officeDocument/2006/relationships/image" Target="Centrale_hiv_sout\Centrale_hiv_soutf.png" TargetMode="External"/><Relationship Id="rId5" Type="http://schemas.openxmlformats.org/officeDocument/2006/relationships/image" Target="Centrale_hiv_sout\Centrale_hiv_soute.png" TargetMode="External"/><Relationship Id="rId10" Type="http://schemas.openxmlformats.org/officeDocument/2006/relationships/image" Target="Centrale_hiv_sout\Centrale_hiv_soutj.png" TargetMode="External"/><Relationship Id="rId4" Type="http://schemas.openxmlformats.org/officeDocument/2006/relationships/image" Target="Centrale_hiv_sout\Centrale_hiv_soutd.png" TargetMode="External"/><Relationship Id="rId9" Type="http://schemas.openxmlformats.org/officeDocument/2006/relationships/image" Target="Centrale_hiv_sout\Centrale_hiv_souti.png" TargetMode="Externa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Centrale_nominale_soutirage\Centrale_nominale_soutirageh.png" TargetMode="External"/><Relationship Id="rId3" Type="http://schemas.openxmlformats.org/officeDocument/2006/relationships/image" Target="Centrale_nominale_soutirage\Centrale_nominale_soutiragec.png" TargetMode="External"/><Relationship Id="rId7" Type="http://schemas.openxmlformats.org/officeDocument/2006/relationships/image" Target="Centrale_nominale_soutirage\Centrale_nominale_soutirageg.png" TargetMode="External"/><Relationship Id="rId2" Type="http://schemas.openxmlformats.org/officeDocument/2006/relationships/image" Target="Centrale_nominale_soutirage\Centrale_nominale_soutirageb.png" TargetMode="External"/><Relationship Id="rId1" Type="http://schemas.openxmlformats.org/officeDocument/2006/relationships/image" Target="Centrale_nominale_soutirage\Centrale_nominale_soutiragea.png" TargetMode="External"/><Relationship Id="rId6" Type="http://schemas.openxmlformats.org/officeDocument/2006/relationships/image" Target="Centrale_nominale_soutirage\Centrale_nominale_soutiragef.png" TargetMode="External"/><Relationship Id="rId5" Type="http://schemas.openxmlformats.org/officeDocument/2006/relationships/image" Target="Centrale_nominale_soutirage\Centrale_nominale_soutiragee.png" TargetMode="External"/><Relationship Id="rId10" Type="http://schemas.openxmlformats.org/officeDocument/2006/relationships/image" Target="Centrale_nominale_soutirage\Centrale_nominale_soutiragej.png" TargetMode="External"/><Relationship Id="rId4" Type="http://schemas.openxmlformats.org/officeDocument/2006/relationships/image" Target="Centrale_nominale_soutirage\Centrale_nominale_soutiraged.png" TargetMode="External"/><Relationship Id="rId9" Type="http://schemas.openxmlformats.org/officeDocument/2006/relationships/image" Target="Centrale_nominale_soutirage\Centrale_nominale_soutiragei.png" TargetMode="Externa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Centrale_hiver_soutirage\Centrale_hiver_soutirageh.png" TargetMode="External"/><Relationship Id="rId3" Type="http://schemas.openxmlformats.org/officeDocument/2006/relationships/image" Target="Centrale_hiver_soutirage\Centrale_hiver_soutiragec.png" TargetMode="External"/><Relationship Id="rId7" Type="http://schemas.openxmlformats.org/officeDocument/2006/relationships/image" Target="Centrale_hiver_soutirage\Centrale_hiver_soutirageg.png" TargetMode="External"/><Relationship Id="rId2" Type="http://schemas.openxmlformats.org/officeDocument/2006/relationships/image" Target="Centrale_hiver_soutirage\Centrale_hiver_soutirageb.png" TargetMode="External"/><Relationship Id="rId1" Type="http://schemas.openxmlformats.org/officeDocument/2006/relationships/image" Target="Centrale_hiver_soutirage\Centrale_hiver_soutiragea.png" TargetMode="External"/><Relationship Id="rId6" Type="http://schemas.openxmlformats.org/officeDocument/2006/relationships/image" Target="Centrale_hiver_soutirage\Centrale_hiver_soutiragef.png" TargetMode="External"/><Relationship Id="rId5" Type="http://schemas.openxmlformats.org/officeDocument/2006/relationships/image" Target="Centrale_hiver_soutirage\Centrale_hiver_soutiragee.png" TargetMode="External"/><Relationship Id="rId10" Type="http://schemas.openxmlformats.org/officeDocument/2006/relationships/image" Target="Centrale_hiver_soutirage\Centrale_hiver_soutiragej.png" TargetMode="External"/><Relationship Id="rId4" Type="http://schemas.openxmlformats.org/officeDocument/2006/relationships/image" Target="Centrale_hiver_soutirage\Centrale_hiver_soutiraged.png" TargetMode="External"/><Relationship Id="rId9" Type="http://schemas.openxmlformats.org/officeDocument/2006/relationships/image" Target="Centrale_hiver_soutirage\Centrale_hiver_soutiragei.png" TargetMode="Externa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Centrale_hiver\Centrale_hiverh.png" TargetMode="External"/><Relationship Id="rId3" Type="http://schemas.openxmlformats.org/officeDocument/2006/relationships/image" Target="Centrale_hiver\Centrale_hiverc.png" TargetMode="External"/><Relationship Id="rId7" Type="http://schemas.openxmlformats.org/officeDocument/2006/relationships/image" Target="Centrale_hiver\Centrale_hiverg.png" TargetMode="External"/><Relationship Id="rId2" Type="http://schemas.openxmlformats.org/officeDocument/2006/relationships/image" Target="Centrale_hiver\Centrale_hiverb.png" TargetMode="External"/><Relationship Id="rId1" Type="http://schemas.openxmlformats.org/officeDocument/2006/relationships/image" Target="Centrale_hiver\Centrale_hivera.png" TargetMode="External"/><Relationship Id="rId6" Type="http://schemas.openxmlformats.org/officeDocument/2006/relationships/image" Target="Centrale_hiver\Centrale_hiverf.png" TargetMode="External"/><Relationship Id="rId5" Type="http://schemas.openxmlformats.org/officeDocument/2006/relationships/image" Target="Centrale_hiver\Centrale_hivere.png" TargetMode="External"/><Relationship Id="rId10" Type="http://schemas.openxmlformats.org/officeDocument/2006/relationships/image" Target="Centrale_hiver\Centrale_hiverj.png" TargetMode="External"/><Relationship Id="rId4" Type="http://schemas.openxmlformats.org/officeDocument/2006/relationships/image" Target="Centrale_hiver\Centrale_hiverd.png" TargetMode="External"/><Relationship Id="rId9" Type="http://schemas.openxmlformats.org/officeDocument/2006/relationships/image" Target="Centrale_hiver\Centrale_hiveri.png" TargetMode="External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Centrale_&#233;t&#233;\Centrale_&#233;t&#233;h.png" TargetMode="External"/><Relationship Id="rId3" Type="http://schemas.openxmlformats.org/officeDocument/2006/relationships/image" Target="Centrale_&#233;t&#233;\Centrale_&#233;t&#233;c.png" TargetMode="External"/><Relationship Id="rId7" Type="http://schemas.openxmlformats.org/officeDocument/2006/relationships/image" Target="Centrale_&#233;t&#233;\Centrale_&#233;t&#233;g.png" TargetMode="External"/><Relationship Id="rId2" Type="http://schemas.openxmlformats.org/officeDocument/2006/relationships/image" Target="Centrale_&#233;t&#233;\Centrale_&#233;t&#233;b.png" TargetMode="External"/><Relationship Id="rId1" Type="http://schemas.openxmlformats.org/officeDocument/2006/relationships/image" Target="Centrale_&#233;t&#233;\Centrale_&#233;t&#233;a.png" TargetMode="External"/><Relationship Id="rId6" Type="http://schemas.openxmlformats.org/officeDocument/2006/relationships/image" Target="Centrale_&#233;t&#233;\Centrale_&#233;t&#233;f.png" TargetMode="External"/><Relationship Id="rId5" Type="http://schemas.openxmlformats.org/officeDocument/2006/relationships/image" Target="Centrale_&#233;t&#233;\Centrale_&#233;t&#233;e.png" TargetMode="External"/><Relationship Id="rId10" Type="http://schemas.openxmlformats.org/officeDocument/2006/relationships/image" Target="Centrale_&#233;t&#233;\Centrale_&#233;t&#233;j.png" TargetMode="External"/><Relationship Id="rId4" Type="http://schemas.openxmlformats.org/officeDocument/2006/relationships/image" Target="Centrale_&#233;t&#233;\Centrale_&#233;t&#233;d.png" TargetMode="External"/><Relationship Id="rId9" Type="http://schemas.openxmlformats.org/officeDocument/2006/relationships/image" Target="Centrale_&#233;t&#233;\Centrale_&#233;t&#233;i.png" TargetMode="External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Centrale_&#233;t&#233;sec\Centrale_&#233;t&#233;sech.png" TargetMode="External"/><Relationship Id="rId3" Type="http://schemas.openxmlformats.org/officeDocument/2006/relationships/image" Target="Centrale_&#233;t&#233;sec\Centrale_&#233;t&#233;secc.png" TargetMode="External"/><Relationship Id="rId7" Type="http://schemas.openxmlformats.org/officeDocument/2006/relationships/image" Target="Centrale_&#233;t&#233;sec\Centrale_&#233;t&#233;secg.png" TargetMode="External"/><Relationship Id="rId2" Type="http://schemas.openxmlformats.org/officeDocument/2006/relationships/image" Target="Centrale_&#233;t&#233;sec\Centrale_&#233;t&#233;secb.png" TargetMode="External"/><Relationship Id="rId1" Type="http://schemas.openxmlformats.org/officeDocument/2006/relationships/image" Target="Centrale_&#233;t&#233;sec\Centrale_&#233;t&#233;seca.png" TargetMode="External"/><Relationship Id="rId6" Type="http://schemas.openxmlformats.org/officeDocument/2006/relationships/image" Target="Centrale_&#233;t&#233;sec\Centrale_&#233;t&#233;secf.png" TargetMode="External"/><Relationship Id="rId5" Type="http://schemas.openxmlformats.org/officeDocument/2006/relationships/image" Target="Centrale_&#233;t&#233;sec\Centrale_&#233;t&#233;sece.png" TargetMode="External"/><Relationship Id="rId10" Type="http://schemas.openxmlformats.org/officeDocument/2006/relationships/image" Target="Centrale_&#233;t&#233;sec\Centrale_&#233;t&#233;secj.png" TargetMode="External"/><Relationship Id="rId4" Type="http://schemas.openxmlformats.org/officeDocument/2006/relationships/image" Target="Centrale_&#233;t&#233;sec\Centrale_&#233;t&#233;secd.png" TargetMode="External"/><Relationship Id="rId9" Type="http://schemas.openxmlformats.org/officeDocument/2006/relationships/image" Target="Centrale_&#233;t&#233;sec\Centrale_&#233;t&#233;seci.png" TargetMode="External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Centrale_&#233;t&#233;sec_soutirage\Centrale_&#233;t&#233;sec_soutirageh.png" TargetMode="External"/><Relationship Id="rId3" Type="http://schemas.openxmlformats.org/officeDocument/2006/relationships/image" Target="Centrale_&#233;t&#233;sec_soutirage\Centrale_&#233;t&#233;sec_soutiragec.png" TargetMode="External"/><Relationship Id="rId7" Type="http://schemas.openxmlformats.org/officeDocument/2006/relationships/image" Target="Centrale_&#233;t&#233;sec_soutirage\Centrale_&#233;t&#233;sec_soutirageg.png" TargetMode="External"/><Relationship Id="rId2" Type="http://schemas.openxmlformats.org/officeDocument/2006/relationships/image" Target="Centrale_&#233;t&#233;sec_soutirage\Centrale_&#233;t&#233;sec_soutirageb.png" TargetMode="External"/><Relationship Id="rId1" Type="http://schemas.openxmlformats.org/officeDocument/2006/relationships/image" Target="Centrale_&#233;t&#233;sec_soutirage\Centrale_&#233;t&#233;sec_soutiragea.png" TargetMode="External"/><Relationship Id="rId6" Type="http://schemas.openxmlformats.org/officeDocument/2006/relationships/image" Target="Centrale_&#233;t&#233;sec_soutirage\Centrale_&#233;t&#233;sec_soutiragef.png" TargetMode="External"/><Relationship Id="rId5" Type="http://schemas.openxmlformats.org/officeDocument/2006/relationships/image" Target="Centrale_&#233;t&#233;sec_soutirage\Centrale_&#233;t&#233;sec_soutiragee.png" TargetMode="External"/><Relationship Id="rId10" Type="http://schemas.openxmlformats.org/officeDocument/2006/relationships/image" Target="Centrale_&#233;t&#233;sec_soutirage\Centrale_&#233;t&#233;sec_soutiragej.png" TargetMode="External"/><Relationship Id="rId4" Type="http://schemas.openxmlformats.org/officeDocument/2006/relationships/image" Target="Centrale_&#233;t&#233;sec_soutirage\Centrale_&#233;t&#233;sec_soutiraged.png" TargetMode="External"/><Relationship Id="rId9" Type="http://schemas.openxmlformats.org/officeDocument/2006/relationships/image" Target="Centrale_&#233;t&#233;sec_soutirage\Centrale_&#233;t&#233;sec_soutiragei.png" TargetMode="External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Centrale_hiver\Centrale_hiverh.png" TargetMode="External"/><Relationship Id="rId3" Type="http://schemas.openxmlformats.org/officeDocument/2006/relationships/image" Target="Centrale_hiver\Centrale_hiverc.png" TargetMode="External"/><Relationship Id="rId7" Type="http://schemas.openxmlformats.org/officeDocument/2006/relationships/image" Target="Centrale_hiver\Centrale_hiverg.png" TargetMode="External"/><Relationship Id="rId2" Type="http://schemas.openxmlformats.org/officeDocument/2006/relationships/image" Target="Centrale_hiver\Centrale_hiverb.png" TargetMode="External"/><Relationship Id="rId1" Type="http://schemas.openxmlformats.org/officeDocument/2006/relationships/image" Target="Centrale_hiver\Centrale_hivera.png" TargetMode="External"/><Relationship Id="rId6" Type="http://schemas.openxmlformats.org/officeDocument/2006/relationships/image" Target="Centrale_hiver\Centrale_hiverf.png" TargetMode="External"/><Relationship Id="rId5" Type="http://schemas.openxmlformats.org/officeDocument/2006/relationships/image" Target="Centrale_hiver\Centrale_hivere.png" TargetMode="External"/><Relationship Id="rId10" Type="http://schemas.openxmlformats.org/officeDocument/2006/relationships/image" Target="Centrale_hiver\Centrale_hiverj.png" TargetMode="External"/><Relationship Id="rId4" Type="http://schemas.openxmlformats.org/officeDocument/2006/relationships/image" Target="Centrale_hiver\Centrale_hiverd.png" TargetMode="External"/><Relationship Id="rId9" Type="http://schemas.openxmlformats.org/officeDocument/2006/relationships/image" Target="Centrale_hiver\Centrale_hiveri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3</xdr:row>
          <xdr:rowOff>76200</xdr:rowOff>
        </xdr:from>
        <xdr:to>
          <xdr:col>6</xdr:col>
          <xdr:colOff>1333500</xdr:colOff>
          <xdr:row>4</xdr:row>
          <xdr:rowOff>396240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8338" name="interp button" hidden="1">
              <a:extLst>
                <a:ext uri="{63B3BB69-23CF-44E3-9099-C40C66FF867C}">
                  <a14:compatExt spid="_x0000_s398338"/>
                </a:ext>
                <a:ext uri="{FF2B5EF4-FFF2-40B4-BE49-F238E27FC236}">
                  <a16:creationId xmlns:a16="http://schemas.microsoft.com/office/drawing/2014/main" id="{F23737F2-4463-031D-3F1E-36AA7CCF4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29E52-A255-4CCF-FBDD-BAFF9E11F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4EBAD5-BC43-35EE-69CF-C1701072E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6FB374A-F4B1-4069-3338-78C733FD1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A8ED133-AB12-ACBE-C41D-89A999EF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C09C52-AF00-E2AA-4A21-D18CE33B5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A41A294-BB17-CA7D-2EC4-9CCC0798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8906FD9-99A1-1803-C324-8A33A52F6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62CF757-907E-2C58-ADE6-C47418B99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7FF7298-8952-50D5-DFA9-5F9286C3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D65C4A2-12CF-E6A8-585E-92B4E8683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7314" name="interp button" hidden="1">
              <a:extLst>
                <a:ext uri="{63B3BB69-23CF-44E3-9099-C40C66FF867C}">
                  <a14:compatExt spid="_x0000_s397314"/>
                </a:ext>
                <a:ext uri="{FF2B5EF4-FFF2-40B4-BE49-F238E27FC236}">
                  <a16:creationId xmlns:a16="http://schemas.microsoft.com/office/drawing/2014/main" id="{41549F38-C15E-7FB9-3D84-23F106861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D2C6E60-C771-883E-F949-0EFAF4404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63B9DD-8B51-F062-BB68-2BC2EDE77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0C86C32-9EEB-B1B5-100A-F10EB59BD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6B1B85-C3A3-3835-D421-E49B7851B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B2521A1-B7DF-9FBE-9AE9-4D7DACF3D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018BD2A-9207-47BF-5A91-D629EBEED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AE87307-D342-25B8-F07C-AF64DF9A6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729299-F367-0132-FB4E-213CDB423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484495B-5C40-4D15-97B1-B22A4A36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A546A21-11BB-5185-C5C8-879346DD8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6290" name="interp button" hidden="1">
              <a:extLst>
                <a:ext uri="{63B3BB69-23CF-44E3-9099-C40C66FF867C}">
                  <a14:compatExt spid="_x0000_s396290"/>
                </a:ext>
                <a:ext uri="{FF2B5EF4-FFF2-40B4-BE49-F238E27FC236}">
                  <a16:creationId xmlns:a16="http://schemas.microsoft.com/office/drawing/2014/main" id="{AB6A502B-9FA4-B24E-6EF0-6FB0F33A3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5266" name="interp button" hidden="1">
              <a:extLst>
                <a:ext uri="{63B3BB69-23CF-44E3-9099-C40C66FF867C}">
                  <a14:compatExt spid="_x0000_s395266"/>
                </a:ext>
                <a:ext uri="{FF2B5EF4-FFF2-40B4-BE49-F238E27FC236}">
                  <a16:creationId xmlns:a16="http://schemas.microsoft.com/office/drawing/2014/main" id="{B6EE8233-DB7F-E45E-0724-D5DF3CEC1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6B63CBE-BEF1-AEB8-0333-0F52059D6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983D4C-F28F-821B-9678-A78E34D00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36CCC44-D937-8E7D-8205-B208C4FB6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8D67D04-0D4A-8C42-4CAC-3C63DFAA6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B7723B5-EDBB-50DC-38C6-6F4434F54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3A0B448-34CD-6D7C-230C-636C78B1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EC63B0E-AAD3-2A68-29AE-59641C246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83DD396-93D5-97FB-038B-F7F77B5FA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7E779A1-414C-487F-FE6F-6A1C76B0B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2A6C78F-0DB5-3D0E-466C-AB897DBA8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4242" name="interp button" hidden="1">
              <a:extLst>
                <a:ext uri="{63B3BB69-23CF-44E3-9099-C40C66FF867C}">
                  <a14:compatExt spid="_x0000_s394242"/>
                </a:ext>
                <a:ext uri="{FF2B5EF4-FFF2-40B4-BE49-F238E27FC236}">
                  <a16:creationId xmlns:a16="http://schemas.microsoft.com/office/drawing/2014/main" id="{C8E8A6BB-3973-9F6D-601A-722C76AD7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A73885-62EB-7A05-C247-DF81AC11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3FEA7C-51E1-A515-EFB4-FF4857581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6679F09-B058-1614-FC8C-DDA8E4A1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579D9FC-5102-5318-8C36-DC0F21F4B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63669E0-045C-69FA-5C4A-5B7C3BEA6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CC1C822-44EB-5133-6038-A778F980C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D508DE3-12E9-3B1D-AC31-79FDF380E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89AC67E-D43D-C340-E941-713B26036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71F815C-5400-23CF-65EE-DB6F24E11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E4E33B7-B36D-5437-178C-281755BAF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218" name="interp button" hidden="1">
              <a:extLst>
                <a:ext uri="{63B3BB69-23CF-44E3-9099-C40C66FF867C}">
                  <a14:compatExt spid="_x0000_s393218"/>
                </a:ext>
                <a:ext uri="{FF2B5EF4-FFF2-40B4-BE49-F238E27FC236}">
                  <a16:creationId xmlns:a16="http://schemas.microsoft.com/office/drawing/2014/main" id="{5EB11A8B-785E-34DF-A12E-882EEA6F2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B9936D-31EE-F6AA-68CD-3A0E77565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3EBD25A-A71A-1FFF-F84C-51D54DCFD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A7143F7-C77E-44FC-E123-E94B4F281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E024CD-7D6A-6C73-B81E-ED86C3EB9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87B191B-CEE7-5AD0-EBDF-5B651909B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09741AB-1DD0-67CF-E6E3-25C809C2D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CCBD66D-DDC1-91A1-5A2C-431CD0974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E76666-FF90-0E3B-8662-13A65F53E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5AF7CD5-25F3-44C1-8DD9-91DA6974E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5C1B425-0ED1-168A-AE8E-58AB2FB2D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2194" name="interp button" hidden="1">
              <a:extLst>
                <a:ext uri="{63B3BB69-23CF-44E3-9099-C40C66FF867C}">
                  <a14:compatExt spid="_x0000_s392194"/>
                </a:ext>
                <a:ext uri="{FF2B5EF4-FFF2-40B4-BE49-F238E27FC236}">
                  <a16:creationId xmlns:a16="http://schemas.microsoft.com/office/drawing/2014/main" id="{C9BCBE56-1265-F1A6-F198-4CEB3ABCA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7B5E20-67BD-EBB6-64D7-40F899764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A36DAC8-F189-9EB7-AED8-A52BE1238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5D3FE32-0AA8-5CAC-5F82-32046C3D0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F052A09-FC91-B99C-C312-30CAEB858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82D1A1D-E16C-EF9D-CD78-A1F9DC76C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E6764A9-DDDC-D2A7-165A-C9A55B547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FDDFF99-DA0B-21CA-F195-AD724FBFB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22C8158-778A-B47F-BCB7-D753D7DBF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E41E9A0-AE7E-8627-4B7A-AED98BFBF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434A30A-1717-4C83-B3BA-F6E69787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1170" name="interp button" hidden="1">
              <a:extLst>
                <a:ext uri="{63B3BB69-23CF-44E3-9099-C40C66FF867C}">
                  <a14:compatExt spid="_x0000_s391170"/>
                </a:ext>
                <a:ext uri="{FF2B5EF4-FFF2-40B4-BE49-F238E27FC236}">
                  <a16:creationId xmlns:a16="http://schemas.microsoft.com/office/drawing/2014/main" id="{610FF591-D9A5-E3C1-8CC2-3A2881FB4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E547F44-659D-6AA9-15D2-5C03C1D79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89D06BF-3B63-40E8-8FEC-FA970E8F0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2667CAB-9EF4-CFBF-E22F-00E29A6A3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F0DE2EB-C8EC-6E9C-0FF1-B7013322F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7C288C2-0AD9-6E41-2C1C-5B144A15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5352510-EFFF-BE20-756A-9AF212033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17A9D9E-2557-03D6-D85F-68E11E8CD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1ECEB21-3673-9822-5F87-5E67673F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D181A26-539C-A40E-9A2C-1300D5A6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C8D909F-9FBB-7DFB-C97D-739071A26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3CDED2-6131-4A43-8EAB-3860EDEEB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E4E645-E936-415C-BB3B-E1A3E8872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0197942-E912-4CB7-8D38-2D7B58332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4E1F2D-CCFA-4395-8178-F0941354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28FC07-71B9-4FB5-9A01-60C231793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537591A-138E-4BC2-8C09-244CCF61A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FD25E6A-D17B-4920-821A-81866964F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F46201D-B606-4919-94C6-F2DF629E0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EF85BCE-B03F-4600-9514-9B31F680F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6F74134-6533-4EA7-8229-4B5FFF70E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30046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8F30813-7B87-4F31-81DB-DE277733D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BDD6CEC-4455-43A1-AE0D-7A9C3DE7A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6E7A313-5E03-43A3-8AEF-A3F61F717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A1DA786-C8DA-45D6-A183-BF799BB1B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3A40325-DE13-4974-AD8A-2F9E040EA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100A04E-376D-49FB-AF06-0AB0C9DEF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E35E447-DA37-406D-8BBE-2A7933020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7A9F424-01CF-420C-93AA-52A6A6297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DCBB5B7B-5EE5-41AC-A7D3-425E27BFD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FC43CEC-72CF-48B6-82E3-90FCEAE4E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E5E83F6-7006-4780-A07A-153BCCB99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7D5FDE3-5DDB-4DB2-A8D4-9AA464E7D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F75FAF8-EBE9-4207-B924-3D5102AE7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07BA1C0-1861-4F0B-AB9F-C6D76D599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B5DF5075-094C-4995-8908-318CE7C77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9A164F1-3BDF-4FCC-8753-3E82A6A2F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62C32643-7FB2-4F7A-AD75-816E3AB99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30046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6E893A7-2703-4CD7-9951-70E44C42B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2375" y="11300460"/>
          <a:ext cx="593102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8F94BE89-736D-4DB6-930D-4C27256A2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5861B6C-6D0F-495A-B28D-70B54FFB4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22D24D43-EEA3-490F-8104-9E080CBAA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19CF7FC1-BD2A-46AF-8393-8CBC2F123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FFC6A39-2AAE-4795-8ED5-2DC4703F5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5AC6C6C-D9FA-4ECC-BC77-20AFD6478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6FAF727A-6BEF-4CDB-8941-A0191DDE9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99179276-F6B2-4275-8B8E-877BDF172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CB21DEC3-B7B7-4716-8DE6-EB0B018E4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C98B88F-128F-400A-8E21-F8F73104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30046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966C0030-28DB-4A7E-B332-86DE7FDB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4155CC15-F482-423C-99BC-A11D7F1BF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64F300D2-8AD9-49EF-8E4B-93EC6E3A6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845B61F9-CDAF-48E3-9EBE-3AE5365B1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2FCC60F0-003D-4995-A718-ED48DC521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E9CC36E5-B64F-4A53-83BC-42A491D53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C09277A0-C9EF-48C4-8947-E2273463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65E6D77-5019-46A6-8F3D-823497BF8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2375" y="11300460"/>
          <a:ext cx="5931692" cy="43954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0146" name="interp button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29F90B20-AD80-007A-3BF0-D5E770825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FD50DEAC-D56A-FEB9-699D-065A9CB9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2C023D7-CE52-19AB-C692-4CAC64446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447FEAB0-CFC2-8633-7E6B-CCC578ED0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C5A05BBD-9D1F-2DCC-A080-10DAFC526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89747</xdr:colOff>
      <xdr:row>136</xdr:row>
      <xdr:rowOff>86360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CAD3DA61-52D9-A371-5F02-473CA94A1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89747</xdr:colOff>
      <xdr:row>161</xdr:row>
      <xdr:rowOff>86360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5BF6C329-78C0-2718-1A72-605F5D320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89747</xdr:colOff>
      <xdr:row>186</xdr:row>
      <xdr:rowOff>86360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D873597-A74F-AAB7-A2B5-C97A46FC0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9F4A729B-9477-0187-33F5-8D5DCBD0F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89747</xdr:colOff>
      <xdr:row>211</xdr:row>
      <xdr:rowOff>86360</xdr:rowOff>
    </xdr:to>
    <xdr:pic>
      <xdr:nvPicPr>
        <xdr:cNvPr id="390147" name="Picture 390146">
          <a:extLst>
            <a:ext uri="{FF2B5EF4-FFF2-40B4-BE49-F238E27FC236}">
              <a16:creationId xmlns:a16="http://schemas.microsoft.com/office/drawing/2014/main" id="{DD56E7E4-2805-76CB-33D8-4BA0155FB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89747</xdr:colOff>
      <xdr:row>236</xdr:row>
      <xdr:rowOff>86360</xdr:rowOff>
    </xdr:to>
    <xdr:pic>
      <xdr:nvPicPr>
        <xdr:cNvPr id="390149" name="Picture 390148">
          <a:extLst>
            <a:ext uri="{FF2B5EF4-FFF2-40B4-BE49-F238E27FC236}">
              <a16:creationId xmlns:a16="http://schemas.microsoft.com/office/drawing/2014/main" id="{969A2E9D-3468-DD73-81A1-24DD69E51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F893E1-4874-40FC-BAB1-2C2D277D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0EEE32-D10A-4F52-8AC9-8BD3D19B1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4BCE615-961E-4BBA-BCC1-70BF5A53B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1C983AC-B144-44CE-A6C3-C28BA2E5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D8BAF57-46EE-40E3-A896-098315597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25312EE-F65A-4656-80A9-F0989DF1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0B9F689-A0B5-4447-B1B2-968086667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1AFD6AC-663F-4698-B978-DC413299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E54C2A5-869C-4739-9D4C-FEA4E73AB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12FE820-E4B8-4A54-9ED1-CD6F953D2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30046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8613619-F216-44A8-A5B7-F493B3A1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B749599-A1AC-42D4-A47F-D0E367D0C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1663526-F28E-4D88-962B-587CEF31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9718413-C97C-4DCC-B640-013BEF2E3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F743695-8E4E-459F-86E8-3130A4DBF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7740B-B2D4-47BD-B197-736995ACC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C15A287-C151-4196-B70A-93C59C0E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7B21B91-83E6-413E-841D-2290C26B3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2118E20-09B5-422D-829A-69409D6E3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ED75B95-1441-4D38-AF4B-8773B842B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7D0D3E4-A703-4770-A8F0-A8F608625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F41BA0B-418C-4F98-BD7D-AE68F09ED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C0599675-7D82-42F1-A5A9-D0F26E06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CA363D7-FCF0-4581-A016-65C0C26EE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EE3AF2F-F394-491B-9290-C96024E6C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67A7568-7164-4616-9E94-D8CA99E8B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6B4F4F2-B30C-4097-BFCF-A104E52D1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30046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6B393C7-E6E6-4C39-B076-0AB0AF955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2375" y="11300460"/>
          <a:ext cx="593102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D8E85E0-8B67-4E99-BF6E-48B8B8FA7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AE37CA9-CA42-4DD5-A922-120C18A9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4F4E08A3-B164-41C6-B7C5-78798CE2B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2D17E409-F0C9-4B78-84A4-D827DB568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44E9A411-E1AE-477B-AF89-06F421895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BAD3D3E4-7386-4675-9BF4-209D4FC6F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3E60915D-52C8-4E62-A3E0-46C100BB1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489DF40D-F57B-4777-A0AF-E15F71719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BF2F062B-EFE0-431C-BE0A-102FE3BA4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372F2DAE-3915-432A-BC33-3FB3476D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30046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185BB7FB-A717-4CF6-9EBA-0FC29FB54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6EDA09BE-410B-4D4D-A94E-E1184F69C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37E6BB6-8B38-43EE-A6A8-D2E8AA7FB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80370EEB-AA61-43DE-B33D-2BFDB24A2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C6E214FA-9A3C-4092-B5DC-602F4E3F1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4618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34D9EF49-02B4-444A-9CAB-C28B04CAB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BF1BCB30-97EB-4E61-93B0-535E83A14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30046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8AA9B671-480C-4420-AC95-B658D45F4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2375" y="11300460"/>
          <a:ext cx="5931692" cy="43954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89122" name="interp button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55A63F88-38E0-CA75-E98E-BB6688D24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76E7DE-6CC4-4504-BEAF-2E9AF5C85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795CDF-51C2-4300-A6AC-C51F17CE0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415147-9564-46C4-B97D-D0F40B66A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045BA95-4987-4C9A-B1CB-D5DBB497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03EC3B-B25B-4C76-8878-06673E934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C54676-4FEE-4F0A-8B1A-F9E45B167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11E5CA-E02E-4A51-8C2F-067DEDD82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6213399-8B75-4F38-91B1-83F2C27C1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7EE218F-3A68-4E95-B054-72C7100CD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CA80F5B-C359-4166-8F9C-9980D472C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71CA7D-85D4-4AB7-9EBF-D9DA5F8AD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BDB7048-DA6D-43D9-BE24-C604489F9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E4D818E-3630-49BD-BCCA-41CCCC75B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9C391EF-6A65-4A9C-9091-C1FEFC5DD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7E8FFEDA-354F-4AEB-B6E9-0D20344FB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847A3BA-F39C-4988-9EBE-2D2C091C1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E4B5CF6-487D-42A3-84EA-20AF8600F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6E1DEF1-AD91-4327-BA58-CAF4D8F85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7E9FEDB-C0A0-47F5-984C-05D3F12F8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46EDEF2-EB09-4588-97C3-C68E42FE8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66593E0-BE87-46F8-8C14-E45C3E2F4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975104C-0188-4A2B-8BF3-E6396D66D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9C58849-EE54-4DE5-8B16-5F9170601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10F308EA-1E92-4B41-8F23-18D54725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90E846FB-1414-4982-AF36-21B897FF4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99A83589-739F-4D8F-A37A-0FC8B7B8C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66EF749-9698-4E7F-9125-1FA8C754D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70E147-8758-45D8-8AD1-447CF4B0D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2375" y="11292840"/>
          <a:ext cx="593102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59785C31-CB78-4ACF-85D9-10BED0957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B42F3F5B-7B0E-4BF1-9A38-3A38EA645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53DC88DD-5401-4528-B159-B480D91F0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3F4D4274-7B75-4B29-BBD5-75C52DE80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44624984-BFBC-49E6-B0AD-EFD92763A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5BEB2F3-3F47-4836-A171-D142E99E5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FD8C84FF-4DF9-47FD-A492-25A82B57B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5B8AEC6F-B8B8-45BE-A6A5-83EA8994C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EC38C07B-A353-4B7A-B3AE-81A7C4F51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06C9430-6239-4A60-A814-94668D25B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30548AB-CE6D-40A2-9FAE-06722B3A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54AFEDE-2AAD-450C-BB0B-E03AF8B0F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7ECC1E55-0961-4DB4-9C05-11A9ADBB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F715008-9440-42D0-A7B4-2B5A99260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A4E2E906-1415-45E5-8F7D-8A1C421BD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EB5AD535-C911-49E1-BF27-A2224D8E3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2B953A3-A7B7-4159-BE4F-EE7125A97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73E37D8E-5017-46B5-A220-35FB2E01B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2375" y="11292840"/>
          <a:ext cx="5931692" cy="43954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88098" name="interp button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69B478B4-8A56-9070-CDAD-8D1A680B6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3C970F46-4B26-5BEB-87EA-9684B4307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80FE14B5-4828-CEE2-9C3E-08BDC73A9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7EFA2FA9-88EE-1FFD-4206-1A60223B4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42240BB4-FA49-B67B-BE8D-403128FE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3EBA1131-3C30-A3F5-2E89-D80A8959E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5CB0441-A1C9-84C4-9DBB-0921D4226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563DD247-971E-7E84-E8BD-AA1873657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9D52B7B3-B1FF-A0A5-45AC-CC04F2B83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388099" name="Picture 388098">
          <a:extLst>
            <a:ext uri="{FF2B5EF4-FFF2-40B4-BE49-F238E27FC236}">
              <a16:creationId xmlns:a16="http://schemas.microsoft.com/office/drawing/2014/main" id="{07551CA2-50AE-9879-A2E3-2A1CA306F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388101" name="Picture 388100">
          <a:extLst>
            <a:ext uri="{FF2B5EF4-FFF2-40B4-BE49-F238E27FC236}">
              <a16:creationId xmlns:a16="http://schemas.microsoft.com/office/drawing/2014/main" id="{8D5E7E95-F057-95D9-6038-32298E60F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54416A7-E432-408B-BF5D-3969BEFD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88E36F-DDE7-43E7-BA91-AC139C189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6CD7AE-7183-4AC6-B6DD-36393CD8D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374CF22-FA41-430B-9F04-A56AED712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114000C-A30C-4E7F-8234-2FB92C974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84EE78C-041C-484C-8C40-FBD02182A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8DB9B4C-7800-47F3-A081-B99FF52E2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79FC9CE-A863-4D9E-9CD6-28C56D74C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FFB2B5B-BCCF-4D2A-A510-352DAF00C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CF0E338-A75A-43A4-A828-C3823017A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385861-8669-4002-A0DC-88E6F6B7D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D6FDEE3-E76C-4092-B0AD-031C3B729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4EC79B3-5995-4A14-B0CF-67D8739C4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8DE26F7-1F59-4C36-9E7D-82B63100D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6FFFCBA-8980-43FB-A00B-F67D55D5D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D6E1C77-0287-4A86-9AFA-5D556E514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C05704AC-FBA7-4B27-8321-C56B50569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BD219A2-A2E7-4C24-A707-9BCECDAEF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8740586-4D60-46FF-B421-32E75D60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FB8E7AE-85E4-4AA0-B39A-0030043EB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5ECA13B-E8FA-407E-A15A-1F1B02F58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A7DAE4F-B863-455D-BD07-B4931910F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A9EC9486-2AA5-4C86-8FFC-E1FB3A2E4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8F0A2D1-8D74-43ED-8D13-5D5F0FD50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E4305DA-8832-4870-A220-909159572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1C5997B-3F11-464E-912B-8BA88D396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6943C004-FB20-4947-ABFD-93F4456BB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CAFBC89-01F7-4736-92BD-C53A6D66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2375" y="11292840"/>
          <a:ext cx="593102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1C505E56-696F-444F-B6EB-09273439B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9B119AB4-5856-4E62-8FB0-AF43DABDF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3FF87974-A97F-40C5-91A0-6A62F4EC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7F19AC0F-D32F-4E83-B7EC-23514B4BE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65267A3-4A4F-44CE-8C07-F5717D2D3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C8B4E92-F3BD-4D0A-93E0-AAEEB6EEA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9D20285F-393C-4C74-A048-35944ABDB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5E0253AF-DDD1-4788-B0B5-98CA5EE84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81BB9973-4B93-4A6F-8557-4827BF04B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D07D2202-0659-4A7F-894A-CA876BA69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60AF1C7-4E48-4119-AFAE-0E7C1FDE4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6EA1D25-F956-4F62-A4AD-AC8741D55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611659C-F57A-4D79-899D-9A38412B8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A67B4CB2-8D17-4D52-BDE8-2A5A198EC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1CA4C9BC-C010-491F-9CD9-A9F40BB66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952A0F22-5235-492F-92A7-2018E458E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547E1B0D-8111-4B96-A9FD-F69CDB08E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C579C3B1-7A72-4FBB-A353-3DD1C2E5D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2375" y="11292840"/>
          <a:ext cx="5931692" cy="43954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87074" name="interp button" hidden="1">
              <a:extLst>
                <a:ext uri="{63B3BB69-23CF-44E3-9099-C40C66FF867C}">
                  <a14:compatExt spid="_x0000_s387074"/>
                </a:ext>
                <a:ext uri="{FF2B5EF4-FFF2-40B4-BE49-F238E27FC236}">
                  <a16:creationId xmlns:a16="http://schemas.microsoft.com/office/drawing/2014/main" id="{F5C305DA-1A6B-EC1D-85EC-13E0D05B5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D6EC930B-6249-4110-3E01-3AFE445C6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8B6B00F-59D8-5904-2378-B2D9C6D55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5A088BC5-9F0E-249E-0930-EA88342A9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D5A93C3F-D244-D59E-8E9F-074C09CE0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D961A8D-61F7-258E-7936-E8F4D604E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191D96DE-2DE6-B3F4-5417-3DF9FFF38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6920020-1F11-3496-0B43-6388FB631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1932B7D4-D678-5F77-8FA8-6B836DCA0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387075" name="Picture 387074">
          <a:extLst>
            <a:ext uri="{FF2B5EF4-FFF2-40B4-BE49-F238E27FC236}">
              <a16:creationId xmlns:a16="http://schemas.microsoft.com/office/drawing/2014/main" id="{76D6369B-64A5-A0C6-EC00-7059BC925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387077" name="Picture 387076">
          <a:extLst>
            <a:ext uri="{FF2B5EF4-FFF2-40B4-BE49-F238E27FC236}">
              <a16:creationId xmlns:a16="http://schemas.microsoft.com/office/drawing/2014/main" id="{324395F2-4605-6578-6109-919DFF9C4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498C5A-5537-4AA8-B015-BC490423C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8F6CFF-DF5C-4328-8333-36B8DE8A2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A4A070-413C-4F22-9FC6-2D6A08FB7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BA368F-332D-4216-9C9C-B0F53EFAF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052CA0B-037D-4A05-AF08-DE229C191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DCF6FEF-DAD7-4483-AFB7-EBFA63EA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6BDA08C-A96F-4674-9838-469578FF2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3DBBB83-24CB-49F4-ADAC-BAFE6063B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14A05D8-73B5-41F8-A71E-8A4466A98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B061DFD-9FBF-42EC-996B-D3EFC1BE8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9A855B4-A0D6-4E6E-9323-68DF6D77F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88933EB-4557-4D88-B604-2D367879D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6FC55FC-26D0-45B8-868A-4B0BFD785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EAB94F-039E-4B59-A3E2-3BA889B47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ABE4D50-3AAC-4B0C-96A0-045E4940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3779ED3-38D3-427F-9359-56D4859AD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3AED5D-8FB2-4FC4-B36F-C48A645F7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58DA021-0DE3-4A16-BDF5-82AB49EF4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D0A6084-A930-4D89-B030-489203AE5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8EF11B4-0A10-4F23-8F04-B47C18F5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786C6CF-09BA-4F04-A995-5712A47AD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D1DAADB-D07D-4747-80E8-1F480C18E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CBFA7E15-D0A1-4152-A60A-EFE764D57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A628C7D-5C48-4112-8D14-D8AA06901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DAC19CF-11A2-4904-ADC7-6DD772B94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786FA7D-B674-43E1-890B-16785BBF5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B83CCF5-DEB6-41B6-80AB-CC808A89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BADBF01-183D-4378-A966-4190822A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2375" y="11292840"/>
          <a:ext cx="593102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F209630-DD2F-4857-82B6-F1EB09DA6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244DA02F-839D-4096-BD52-64C01FDCE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16CAC566-1490-4E37-9384-E6574C761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B9857F0-351A-42FD-AEFB-B1AAFAB41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D703272-0765-4E17-9564-549415EA1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D67BD2B-3288-4D55-90F9-B49F2DFCF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86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933BBB46-038A-41E4-ADC5-3DADA5DE3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537F5BF8-DE16-427F-8DED-E31177586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853B8ED2-A4B6-431B-82E3-CB4AD6170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E862D43-AFCA-4A2C-AE55-3464AD774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2375" y="11292840"/>
          <a:ext cx="5934335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89605974-A1C4-4714-9AF4-BB76EFB97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20B27919-4BC0-4D07-8402-21D089A75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98DFD46-4E16-4C16-A574-F6C94B4C3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8C022563-5C63-4ECA-924A-92503ABD9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36192" cy="44507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79072463-6823-4370-943C-17FDBB5E0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40002" cy="44545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52ADFE2-5CB4-414E-A370-72C9ECEB3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5678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CDE7086-A601-488D-9EDB-4AD94D21C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2375" y="11292840"/>
          <a:ext cx="5931097" cy="44049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8DC19200-8085-4125-B1A5-5B5E48A37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2375" y="11292840"/>
          <a:ext cx="5931692" cy="43954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86050" name="interp button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1EFDE49D-4C26-93B5-2A4E-D2E191D77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5D755EB-8686-6507-4FE4-66B3E0C3C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6AE621C-F663-7D88-B0FB-18E74100C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4AA3C1A-2BB2-0146-8820-F7509090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46FB4F20-1026-C2FC-EC11-73E248D6B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60C5E8D9-9725-039A-2801-C41605BE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3005DF22-8790-AC79-EC57-2E22C249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4A8F8FD6-4797-CD6C-BDE4-F2596B5C2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9AB77D96-5A45-B073-4623-F4B53772D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386051" name="Picture 386050">
          <a:extLst>
            <a:ext uri="{FF2B5EF4-FFF2-40B4-BE49-F238E27FC236}">
              <a16:creationId xmlns:a16="http://schemas.microsoft.com/office/drawing/2014/main" id="{34303571-AE42-E79E-C273-89EECE33B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386053" name="Picture 386052">
          <a:extLst>
            <a:ext uri="{FF2B5EF4-FFF2-40B4-BE49-F238E27FC236}">
              <a16:creationId xmlns:a16="http://schemas.microsoft.com/office/drawing/2014/main" id="{C94A1ABF-83E9-9935-7CE2-52FB0035E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0470" y="11344275"/>
          <a:ext cx="592721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0470" y="11344275"/>
          <a:ext cx="5927882" cy="4437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61474" name="interp button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01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87224</xdr:colOff>
      <xdr:row>30</xdr:row>
      <xdr:rowOff>109220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5874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87224</xdr:colOff>
      <xdr:row>61</xdr:row>
      <xdr:rowOff>635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193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87224</xdr:colOff>
      <xdr:row>85</xdr:row>
      <xdr:rowOff>153035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46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87224</xdr:colOff>
      <xdr:row>110</xdr:row>
      <xdr:rowOff>105410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099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87224</xdr:colOff>
      <xdr:row>135</xdr:row>
      <xdr:rowOff>57784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52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87224</xdr:colOff>
      <xdr:row>160</xdr:row>
      <xdr:rowOff>10159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05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87224</xdr:colOff>
      <xdr:row>184</xdr:row>
      <xdr:rowOff>162559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58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969239</xdr:colOff>
      <xdr:row>61</xdr:row>
      <xdr:rowOff>198755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8565" y="1139190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87224</xdr:colOff>
      <xdr:row>209</xdr:row>
      <xdr:rowOff>114934</xdr:rowOff>
    </xdr:to>
    <xdr:pic>
      <xdr:nvPicPr>
        <xdr:cNvPr id="361475" name="Picture 361474">
          <a:extLst>
            <a:ext uri="{FF2B5EF4-FFF2-40B4-BE49-F238E27FC236}">
              <a16:creationId xmlns:a16="http://schemas.microsoft.com/office/drawing/2014/main" id="{00000000-0008-0000-0100-00000384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1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87224</xdr:colOff>
      <xdr:row>234</xdr:row>
      <xdr:rowOff>67309</xdr:rowOff>
    </xdr:to>
    <xdr:pic>
      <xdr:nvPicPr>
        <xdr:cNvPr id="361477" name="Picture 361476">
          <a:extLst>
            <a:ext uri="{FF2B5EF4-FFF2-40B4-BE49-F238E27FC236}">
              <a16:creationId xmlns:a16="http://schemas.microsoft.com/office/drawing/2014/main" id="{00000000-0008-0000-0100-00000584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64779"/>
          <a:ext cx="5926049" cy="444690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0470" y="11344275"/>
          <a:ext cx="592721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0470" y="11344275"/>
          <a:ext cx="5927882" cy="4437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60450" name="interp button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02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91700</xdr:colOff>
      <xdr:row>30</xdr:row>
      <xdr:rowOff>105410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5874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91700</xdr:colOff>
      <xdr:row>60</xdr:row>
      <xdr:rowOff>196850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19378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91700</xdr:colOff>
      <xdr:row>85</xdr:row>
      <xdr:rowOff>149225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4678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91700</xdr:colOff>
      <xdr:row>110</xdr:row>
      <xdr:rowOff>101600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09978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91700</xdr:colOff>
      <xdr:row>135</xdr:row>
      <xdr:rowOff>53974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52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91700</xdr:colOff>
      <xdr:row>160</xdr:row>
      <xdr:rowOff>6349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05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91700</xdr:colOff>
      <xdr:row>184</xdr:row>
      <xdr:rowOff>158749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58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61</xdr:row>
      <xdr:rowOff>194945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8565" y="11391900"/>
          <a:ext cx="5928620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91700</xdr:colOff>
      <xdr:row>209</xdr:row>
      <xdr:rowOff>111124</xdr:rowOff>
    </xdr:to>
    <xdr:pic>
      <xdr:nvPicPr>
        <xdr:cNvPr id="360451" name="Picture 360450">
          <a:extLst>
            <a:ext uri="{FF2B5EF4-FFF2-40B4-BE49-F238E27FC236}">
              <a16:creationId xmlns:a16="http://schemas.microsoft.com/office/drawing/2014/main" id="{00000000-0008-0000-0200-00000380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1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91700</xdr:colOff>
      <xdr:row>234</xdr:row>
      <xdr:rowOff>63499</xdr:rowOff>
    </xdr:to>
    <xdr:pic>
      <xdr:nvPicPr>
        <xdr:cNvPr id="360453" name="Picture 360452">
          <a:extLst>
            <a:ext uri="{FF2B5EF4-FFF2-40B4-BE49-F238E27FC236}">
              <a16:creationId xmlns:a16="http://schemas.microsoft.com/office/drawing/2014/main" id="{00000000-0008-0000-0200-00000580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64779"/>
          <a:ext cx="5930525" cy="444309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968000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671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972382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347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968000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671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972313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0470" y="11344275"/>
          <a:ext cx="5923408" cy="4448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59426" name="interp button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03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87224</xdr:colOff>
      <xdr:row>30</xdr:row>
      <xdr:rowOff>109220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515874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87224</xdr:colOff>
      <xdr:row>61</xdr:row>
      <xdr:rowOff>635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11193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87224</xdr:colOff>
      <xdr:row>85</xdr:row>
      <xdr:rowOff>153035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6146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87224</xdr:colOff>
      <xdr:row>110</xdr:row>
      <xdr:rowOff>105410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21099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87224</xdr:colOff>
      <xdr:row>135</xdr:row>
      <xdr:rowOff>57784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6052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87224</xdr:colOff>
      <xdr:row>160</xdr:row>
      <xdr:rowOff>10159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1005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87224</xdr:colOff>
      <xdr:row>184</xdr:row>
      <xdr:rowOff>162559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5958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969239</xdr:colOff>
      <xdr:row>61</xdr:row>
      <xdr:rowOff>198755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8565" y="1139190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87224</xdr:colOff>
      <xdr:row>209</xdr:row>
      <xdr:rowOff>114934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0911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87224</xdr:colOff>
      <xdr:row>234</xdr:row>
      <xdr:rowOff>67309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0" y="45864779"/>
          <a:ext cx="5926049" cy="444690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968000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671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972382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3477" cy="4448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58402" name="interp button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04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79532</xdr:colOff>
      <xdr:row>30</xdr:row>
      <xdr:rowOff>99695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515874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79532</xdr:colOff>
      <xdr:row>60</xdr:row>
      <xdr:rowOff>191135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1119378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79532</xdr:colOff>
      <xdr:row>85</xdr:row>
      <xdr:rowOff>143510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614678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79532</xdr:colOff>
      <xdr:row>110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2109978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79532</xdr:colOff>
      <xdr:row>135</xdr:row>
      <xdr:rowOff>48259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6052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79532</xdr:colOff>
      <xdr:row>160</xdr:row>
      <xdr:rowOff>634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1005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79532</xdr:colOff>
      <xdr:row>184</xdr:row>
      <xdr:rowOff>153034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5958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961547</xdr:colOff>
      <xdr:row>61</xdr:row>
      <xdr:rowOff>189230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7568565" y="1139190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79532</xdr:colOff>
      <xdr:row>209</xdr:row>
      <xdr:rowOff>105409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0" y="40911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79532</xdr:colOff>
      <xdr:row>234</xdr:row>
      <xdr:rowOff>57784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5864779"/>
          <a:ext cx="5918357" cy="443738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52258" name="interp button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05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92272</xdr:colOff>
      <xdr:row>30</xdr:row>
      <xdr:rowOff>105410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515874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92272</xdr:colOff>
      <xdr:row>60</xdr:row>
      <xdr:rowOff>196850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119378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92272</xdr:colOff>
      <xdr:row>85</xdr:row>
      <xdr:rowOff>149225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1614678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92272</xdr:colOff>
      <xdr:row>110</xdr:row>
      <xdr:rowOff>101600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109978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92272</xdr:colOff>
      <xdr:row>135</xdr:row>
      <xdr:rowOff>53974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26052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92272</xdr:colOff>
      <xdr:row>160</xdr:row>
      <xdr:rowOff>6349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31005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92272</xdr:colOff>
      <xdr:row>184</xdr:row>
      <xdr:rowOff>158749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5958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972382</xdr:colOff>
      <xdr:row>61</xdr:row>
      <xdr:rowOff>194945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68565" y="11391900"/>
          <a:ext cx="5929192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92272</xdr:colOff>
      <xdr:row>209</xdr:row>
      <xdr:rowOff>111124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0911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92272</xdr:colOff>
      <xdr:row>234</xdr:row>
      <xdr:rowOff>63499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5864779"/>
          <a:ext cx="5931097" cy="444309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26667" cy="444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38946" name="interp button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6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26667" cy="444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9490" name="interp button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07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4370" name="interp button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8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3346" name="interp button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09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5</xdr:col>
      <xdr:colOff>89747</xdr:colOff>
      <xdr:row>24</xdr:row>
      <xdr:rowOff>33020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9014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5</xdr:col>
      <xdr:colOff>89747</xdr:colOff>
      <xdr:row>58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599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5</xdr:col>
      <xdr:colOff>89747</xdr:colOff>
      <xdr:row>83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552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5</xdr:col>
      <xdr:colOff>89747</xdr:colOff>
      <xdr:row>108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505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5</xdr:col>
      <xdr:colOff>89747</xdr:colOff>
      <xdr:row>133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458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</xdr:rowOff>
    </xdr:from>
    <xdr:to>
      <xdr:col>5</xdr:col>
      <xdr:colOff>89747</xdr:colOff>
      <xdr:row>158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411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161</xdr:row>
      <xdr:rowOff>1</xdr:rowOff>
    </xdr:from>
    <xdr:to>
      <xdr:col>5</xdr:col>
      <xdr:colOff>89747</xdr:colOff>
      <xdr:row>183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364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186</xdr:row>
      <xdr:rowOff>1</xdr:rowOff>
    </xdr:from>
    <xdr:to>
      <xdr:col>5</xdr:col>
      <xdr:colOff>89747</xdr:colOff>
      <xdr:row>208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317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1</xdr:rowOff>
    </xdr:from>
    <xdr:to>
      <xdr:col>5</xdr:col>
      <xdr:colOff>89747</xdr:colOff>
      <xdr:row>233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270421"/>
          <a:ext cx="5926667" cy="44450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0274" name="interp button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A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97986" name="interp button" hidden="1">
              <a:extLst>
                <a:ext uri="{63B3BB69-23CF-44E3-9099-C40C66FF867C}">
                  <a14:compatExt spid="_x0000_s297986"/>
                </a:ext>
                <a:ext uri="{FF2B5EF4-FFF2-40B4-BE49-F238E27FC236}">
                  <a16:creationId xmlns:a16="http://schemas.microsoft.com/office/drawing/2014/main" id="{00000000-0008-0000-0B00-000002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95938" name="interp button" hidden="1">
              <a:extLst>
                <a:ext uri="{63B3BB69-23CF-44E3-9099-C40C66FF867C}">
                  <a14:compatExt spid="_x0000_s295938"/>
                </a:ext>
                <a:ext uri="{FF2B5EF4-FFF2-40B4-BE49-F238E27FC236}">
                  <a16:creationId xmlns:a16="http://schemas.microsoft.com/office/drawing/2014/main" id="{00000000-0008-0000-0C00-000002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5</xdr:col>
      <xdr:colOff>89747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966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5</xdr:col>
      <xdr:colOff>89747</xdr:colOff>
      <xdr:row>58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9822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5</xdr:col>
      <xdr:colOff>89747</xdr:colOff>
      <xdr:row>83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4775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5</xdr:col>
      <xdr:colOff>89747</xdr:colOff>
      <xdr:row>108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9728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5</xdr:col>
      <xdr:colOff>89747</xdr:colOff>
      <xdr:row>133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4681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135</xdr:row>
      <xdr:rowOff>198119</xdr:rowOff>
    </xdr:from>
    <xdr:to>
      <xdr:col>5</xdr:col>
      <xdr:colOff>89747</xdr:colOff>
      <xdr:row>158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9634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160</xdr:row>
      <xdr:rowOff>198119</xdr:rowOff>
    </xdr:from>
    <xdr:to>
      <xdr:col>5</xdr:col>
      <xdr:colOff>89747</xdr:colOff>
      <xdr:row>183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4587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185</xdr:row>
      <xdr:rowOff>198119</xdr:rowOff>
    </xdr:from>
    <xdr:to>
      <xdr:col>5</xdr:col>
      <xdr:colOff>89747</xdr:colOff>
      <xdr:row>208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9540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210</xdr:row>
      <xdr:rowOff>198119</xdr:rowOff>
    </xdr:from>
    <xdr:to>
      <xdr:col>5</xdr:col>
      <xdr:colOff>89747</xdr:colOff>
      <xdr:row>233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4493179"/>
          <a:ext cx="5926667" cy="44450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9794" name="interp button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D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5</xdr:col>
      <xdr:colOff>89747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966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5</xdr:col>
      <xdr:colOff>89747</xdr:colOff>
      <xdr:row>58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9822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5</xdr:col>
      <xdr:colOff>89747</xdr:colOff>
      <xdr:row>83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4775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5</xdr:col>
      <xdr:colOff>89747</xdr:colOff>
      <xdr:row>108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9728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5</xdr:col>
      <xdr:colOff>89747</xdr:colOff>
      <xdr:row>133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4681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135</xdr:row>
      <xdr:rowOff>198119</xdr:rowOff>
    </xdr:from>
    <xdr:to>
      <xdr:col>5</xdr:col>
      <xdr:colOff>89747</xdr:colOff>
      <xdr:row>158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9634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160</xdr:row>
      <xdr:rowOff>198119</xdr:rowOff>
    </xdr:from>
    <xdr:to>
      <xdr:col>5</xdr:col>
      <xdr:colOff>89747</xdr:colOff>
      <xdr:row>183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4587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185</xdr:row>
      <xdr:rowOff>198119</xdr:rowOff>
    </xdr:from>
    <xdr:to>
      <xdr:col>5</xdr:col>
      <xdr:colOff>89747</xdr:colOff>
      <xdr:row>208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9540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210</xdr:row>
      <xdr:rowOff>198119</xdr:rowOff>
    </xdr:from>
    <xdr:to>
      <xdr:col>5</xdr:col>
      <xdr:colOff>89747</xdr:colOff>
      <xdr:row>233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4493179"/>
          <a:ext cx="5926667" cy="44450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8770" name="interp button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E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0</xdr:rowOff>
    </xdr:from>
    <xdr:to>
      <xdr:col>5</xdr:col>
      <xdr:colOff>89747</xdr:colOff>
      <xdr:row>29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214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5</xdr:col>
      <xdr:colOff>89747</xdr:colOff>
      <xdr:row>60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218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5</xdr:col>
      <xdr:colOff>89747</xdr:colOff>
      <xdr:row>85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171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5</xdr:col>
      <xdr:colOff>89747</xdr:colOff>
      <xdr:row>110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124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5</xdr:col>
      <xdr:colOff>89747</xdr:colOff>
      <xdr:row>135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077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</xdr:rowOff>
    </xdr:from>
    <xdr:to>
      <xdr:col>5</xdr:col>
      <xdr:colOff>89747</xdr:colOff>
      <xdr:row>160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030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</xdr:rowOff>
    </xdr:from>
    <xdr:to>
      <xdr:col>5</xdr:col>
      <xdr:colOff>89747</xdr:colOff>
      <xdr:row>185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4983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</xdr:rowOff>
    </xdr:from>
    <xdr:to>
      <xdr:col>5</xdr:col>
      <xdr:colOff>89747</xdr:colOff>
      <xdr:row>210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9936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</xdr:rowOff>
    </xdr:from>
    <xdr:to>
      <xdr:col>5</xdr:col>
      <xdr:colOff>89747</xdr:colOff>
      <xdr:row>235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4889421"/>
          <a:ext cx="5926667" cy="44450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6722" name="interp button" hidden="1">
              <a:extLst>
                <a:ext uri="{63B3BB69-23CF-44E3-9099-C40C66FF867C}">
                  <a14:compatExt spid="_x0000_s286722"/>
                </a:ext>
                <a:ext uri="{FF2B5EF4-FFF2-40B4-BE49-F238E27FC236}">
                  <a16:creationId xmlns:a16="http://schemas.microsoft.com/office/drawing/2014/main" id="{00000000-0008-0000-0F00-0000026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15</xdr:row>
      <xdr:rowOff>0</xdr:rowOff>
    </xdr:from>
    <xdr:to>
      <xdr:col>5</xdr:col>
      <xdr:colOff>89747</xdr:colOff>
      <xdr:row>33</xdr:row>
      <xdr:rowOff>40640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8463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5</xdr:col>
      <xdr:colOff>89747</xdr:colOff>
      <xdr:row>62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</xdr:rowOff>
    </xdr:from>
    <xdr:to>
      <xdr:col>5</xdr:col>
      <xdr:colOff>89747</xdr:colOff>
      <xdr:row>87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567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1</xdr:rowOff>
    </xdr:from>
    <xdr:to>
      <xdr:col>5</xdr:col>
      <xdr:colOff>89747</xdr:colOff>
      <xdr:row>112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520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115</xdr:row>
      <xdr:rowOff>1</xdr:rowOff>
    </xdr:from>
    <xdr:to>
      <xdr:col>5</xdr:col>
      <xdr:colOff>89747</xdr:colOff>
      <xdr:row>137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473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</xdr:row>
      <xdr:rowOff>1</xdr:rowOff>
    </xdr:from>
    <xdr:to>
      <xdr:col>5</xdr:col>
      <xdr:colOff>89747</xdr:colOff>
      <xdr:row>162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426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165</xdr:row>
      <xdr:rowOff>1</xdr:rowOff>
    </xdr:from>
    <xdr:to>
      <xdr:col>5</xdr:col>
      <xdr:colOff>89747</xdr:colOff>
      <xdr:row>187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379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190</xdr:row>
      <xdr:rowOff>1</xdr:rowOff>
    </xdr:from>
    <xdr:to>
      <xdr:col>5</xdr:col>
      <xdr:colOff>89747</xdr:colOff>
      <xdr:row>212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332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215</xdr:row>
      <xdr:rowOff>1</xdr:rowOff>
    </xdr:from>
    <xdr:to>
      <xdr:col>5</xdr:col>
      <xdr:colOff>89747</xdr:colOff>
      <xdr:row>237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285661"/>
          <a:ext cx="5926667" cy="44450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4674" name="interp button" hidden="1">
              <a:extLst>
                <a:ext uri="{63B3BB69-23CF-44E3-9099-C40C66FF867C}">
                  <a14:compatExt spid="_x0000_s284674"/>
                </a:ext>
                <a:ext uri="{FF2B5EF4-FFF2-40B4-BE49-F238E27FC236}">
                  <a16:creationId xmlns:a16="http://schemas.microsoft.com/office/drawing/2014/main" id="{00000000-0008-0000-1000-0000025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8530" name="interp button" hidden="1">
              <a:extLst>
                <a:ext uri="{63B3BB69-23CF-44E3-9099-C40C66FF867C}">
                  <a14:compatExt spid="_x0000_s278530"/>
                </a:ext>
                <a:ext uri="{FF2B5EF4-FFF2-40B4-BE49-F238E27FC236}">
                  <a16:creationId xmlns:a16="http://schemas.microsoft.com/office/drawing/2014/main" id="{00000000-0008-0000-1100-000002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6482" name="interp button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12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2386" name="interp button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13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0338" name="interp button" hidden="1">
              <a:extLst>
                <a:ext uri="{63B3BB69-23CF-44E3-9099-C40C66FF867C}">
                  <a14:compatExt spid="_x0000_s270338"/>
                </a:ext>
                <a:ext uri="{FF2B5EF4-FFF2-40B4-BE49-F238E27FC236}">
                  <a16:creationId xmlns:a16="http://schemas.microsoft.com/office/drawing/2014/main" id="{00000000-0008-0000-1400-0000022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69314" name="interp button" hidden="1">
              <a:extLst>
                <a:ext uri="{63B3BB69-23CF-44E3-9099-C40C66FF867C}">
                  <a14:compatExt spid="_x0000_s269314"/>
                </a:ext>
                <a:ext uri="{FF2B5EF4-FFF2-40B4-BE49-F238E27FC236}">
                  <a16:creationId xmlns:a16="http://schemas.microsoft.com/office/drawing/2014/main" id="{00000000-0008-0000-1500-0000021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68290" name="interp button" hidden="1">
              <a:extLst>
                <a:ext uri="{63B3BB69-23CF-44E3-9099-C40C66FF867C}">
                  <a14:compatExt spid="_x0000_s268290"/>
                </a:ext>
                <a:ext uri="{FF2B5EF4-FFF2-40B4-BE49-F238E27FC236}">
                  <a16:creationId xmlns:a16="http://schemas.microsoft.com/office/drawing/2014/main" id="{00000000-0008-0000-1600-0000021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39618" name="interp button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17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48A9-731B-4F26-8A8D-3A0E56044030}">
  <sheetPr codeName="Sheet1"/>
  <dimension ref="A1:Z36"/>
  <sheetViews>
    <sheetView tabSelected="1" workbookViewId="0">
      <selection activeCell="C12" sqref="C1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style="4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thickBot="1" x14ac:dyDescent="0.35">
      <c r="A2" s="183" t="s">
        <v>145</v>
      </c>
      <c r="B2" s="186"/>
      <c r="D2" s="18" t="s">
        <v>31</v>
      </c>
      <c r="E2" s="16">
        <v>200</v>
      </c>
      <c r="F2" s="12" t="s">
        <v>80</v>
      </c>
      <c r="G2" s="13" t="s">
        <v>78</v>
      </c>
      <c r="H2" s="41" t="s">
        <v>144</v>
      </c>
      <c r="I2" s="47" t="s">
        <v>182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570</v>
      </c>
      <c r="S2" s="12" t="s">
        <v>44</v>
      </c>
      <c r="T2" s="45" t="s">
        <v>58</v>
      </c>
      <c r="V2" s="76">
        <v>1</v>
      </c>
      <c r="W2" s="52" t="s">
        <v>52</v>
      </c>
      <c r="X2" s="122">
        <v>1000</v>
      </c>
      <c r="Y2" s="68" t="s">
        <v>57</v>
      </c>
      <c r="Z2" s="45" t="s">
        <v>140</v>
      </c>
    </row>
    <row r="3" spans="1:26" ht="25.05" customHeight="1" thickBot="1" x14ac:dyDescent="0.35">
      <c r="A3" s="182"/>
      <c r="B3" s="180"/>
      <c r="D3" s="19" t="s">
        <v>21</v>
      </c>
      <c r="E3" s="192"/>
      <c r="F3" s="193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1000</v>
      </c>
      <c r="S3" s="12" t="s">
        <v>45</v>
      </c>
      <c r="T3" s="45" t="s">
        <v>59</v>
      </c>
      <c r="V3" s="77"/>
      <c r="W3" s="11" t="s">
        <v>61</v>
      </c>
      <c r="X3" s="133">
        <v>0.1</v>
      </c>
      <c r="Y3" s="71"/>
      <c r="Z3" s="13" t="s">
        <v>60</v>
      </c>
    </row>
    <row r="4" spans="1:26" ht="25.05" customHeight="1" thickBot="1" x14ac:dyDescent="0.4">
      <c r="A4" s="175" t="s">
        <v>166</v>
      </c>
      <c r="B4" s="157"/>
      <c r="C4" s="157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140">
        <v>700</v>
      </c>
      <c r="Y4" s="73" t="s">
        <v>33</v>
      </c>
      <c r="Z4" s="57" t="s">
        <v>81</v>
      </c>
    </row>
    <row r="5" spans="1:26" ht="36.6" x14ac:dyDescent="0.3">
      <c r="A5" s="159"/>
      <c r="B5" s="160"/>
      <c r="C5" s="161"/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122">
        <v>250</v>
      </c>
      <c r="Y5" s="68" t="s">
        <v>57</v>
      </c>
      <c r="Z5" s="69"/>
    </row>
    <row r="6" spans="1:26" ht="36.6" x14ac:dyDescent="0.3">
      <c r="A6" s="18"/>
      <c r="B6" s="158"/>
      <c r="C6" s="162"/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133">
        <v>0</v>
      </c>
      <c r="Y6" s="71"/>
      <c r="Z6" s="13"/>
    </row>
    <row r="7" spans="1:26" ht="25.05" customHeight="1" thickBot="1" x14ac:dyDescent="0.35">
      <c r="A7" s="19"/>
      <c r="B7" s="6"/>
      <c r="C7" s="7"/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140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122">
        <v>62.5</v>
      </c>
      <c r="Y8" s="68" t="s">
        <v>57</v>
      </c>
      <c r="Z8" s="69"/>
    </row>
    <row r="9" spans="1:26" ht="25.2" x14ac:dyDescent="0.35">
      <c r="A9" s="171" t="s">
        <v>175</v>
      </c>
      <c r="B9" s="1"/>
      <c r="C9" s="1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1000</v>
      </c>
      <c r="S9" s="12" t="s">
        <v>45</v>
      </c>
      <c r="T9" s="45" t="s">
        <v>139</v>
      </c>
      <c r="V9" s="77"/>
      <c r="W9" s="11" t="s">
        <v>61</v>
      </c>
      <c r="X9" s="133">
        <v>0.1</v>
      </c>
      <c r="Y9" s="71"/>
      <c r="Z9" s="13"/>
    </row>
    <row r="10" spans="1:26" ht="25.05" customHeight="1" thickBot="1" x14ac:dyDescent="0.35">
      <c r="A10" s="3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140">
        <v>700</v>
      </c>
      <c r="Y10" s="73" t="s">
        <v>33</v>
      </c>
      <c r="Z10" s="57"/>
    </row>
    <row r="11" spans="1:26" ht="25.05" customHeight="1" x14ac:dyDescent="0.3">
      <c r="A11" s="3"/>
      <c r="H11" s="1"/>
      <c r="I11" s="1"/>
      <c r="J11" s="1"/>
      <c r="K11" s="2" t="s">
        <v>62</v>
      </c>
      <c r="L11" s="53">
        <v>500</v>
      </c>
      <c r="M11" s="54" t="s">
        <v>44</v>
      </c>
      <c r="N11" s="56" t="s">
        <v>104</v>
      </c>
      <c r="P11" s="83"/>
      <c r="Q11" s="2" t="s">
        <v>52</v>
      </c>
      <c r="R11" s="51">
        <v>15.625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K15" s="2" t="s">
        <v>66</v>
      </c>
      <c r="L15" s="53">
        <v>900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K18" s="2" t="s">
        <v>95</v>
      </c>
      <c r="L18" s="53">
        <v>900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</row>
    <row r="33" spans="1:6" ht="15" customHeight="1" x14ac:dyDescent="0.3">
      <c r="A33" s="3"/>
    </row>
    <row r="34" spans="1:6" ht="15" customHeight="1" x14ac:dyDescent="0.3">
      <c r="A34" s="3"/>
    </row>
    <row r="35" spans="1:6" ht="15" customHeight="1" x14ac:dyDescent="0.3">
      <c r="A35" s="3"/>
    </row>
    <row r="36" spans="1:6" ht="15" customHeight="1" x14ac:dyDescent="0.3">
      <c r="A36" s="157"/>
      <c r="B36" s="157"/>
      <c r="C36" s="157"/>
      <c r="D36" s="157"/>
      <c r="E36" s="157"/>
      <c r="F36" s="157"/>
    </row>
  </sheetData>
  <mergeCells count="19">
    <mergeCell ref="H1:J1"/>
    <mergeCell ref="A1:C1"/>
    <mergeCell ref="P2:P8"/>
    <mergeCell ref="P9:P12"/>
    <mergeCell ref="V2:V4"/>
    <mergeCell ref="V5:V7"/>
    <mergeCell ref="V8:V10"/>
    <mergeCell ref="V11:V13"/>
    <mergeCell ref="D5:G5"/>
    <mergeCell ref="D6:G6"/>
    <mergeCell ref="D7:G7"/>
    <mergeCell ref="D8:G8"/>
    <mergeCell ref="E3:F3"/>
    <mergeCell ref="V29:V31"/>
    <mergeCell ref="V14:V16"/>
    <mergeCell ref="V17:V19"/>
    <mergeCell ref="V20:V22"/>
    <mergeCell ref="V23:V25"/>
    <mergeCell ref="V26:V28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it_python">
                <anchor moveWithCells="1" sizeWithCells="1">
                  <from>
                    <xdr:col>2</xdr:col>
                    <xdr:colOff>289560</xdr:colOff>
                    <xdr:row>3</xdr:row>
                    <xdr:rowOff>76200</xdr:rowOff>
                  </from>
                  <to>
                    <xdr:col>6</xdr:col>
                    <xdr:colOff>1333500</xdr:colOff>
                    <xdr:row>4</xdr:row>
                    <xdr:rowOff>396240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E33C28-40FC-485B-A5BC-FCBB381CDD3B}">
          <x14:formula1>
            <xm:f>'Base de données'!$B$2:$B$24</xm:f>
          </x14:formula1>
          <xm:sqref>L22</xm:sqref>
        </x14:dataValidation>
        <x14:dataValidation type="list" allowBlank="1" showInputMessage="1" showErrorMessage="1" xr:uid="{CD263297-7AF4-4E45-882B-5D52C5B66141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0E2C334-ACEA-48A2-9B07-3D413AE09761}">
          <x14:formula1>
            <xm:f>'Base de données'!$G$2:$G$4</xm:f>
          </x14:formula1>
          <xm:sqref>L7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01050-EABC-4934-AA84-4AB86AEE4840}">
  <sheetPr codeName="Sheet38"/>
  <dimension ref="A1:AA36"/>
  <sheetViews>
    <sheetView topLeftCell="Q1" workbookViewId="0">
      <selection activeCell="X2" sqref="X2:X10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thickBot="1" x14ac:dyDescent="0.35">
      <c r="A2" s="184" t="s">
        <v>145</v>
      </c>
      <c r="B2" s="187" t="s">
        <v>186</v>
      </c>
      <c r="D2" s="109" t="s">
        <v>31</v>
      </c>
      <c r="E2" s="110">
        <v>200</v>
      </c>
      <c r="F2" s="111" t="s">
        <v>80</v>
      </c>
      <c r="G2" s="112" t="s">
        <v>78</v>
      </c>
      <c r="H2" s="98" t="s">
        <v>144</v>
      </c>
      <c r="I2" s="113" t="s">
        <v>182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1000</v>
      </c>
      <c r="Y2" s="123" t="s">
        <v>57</v>
      </c>
      <c r="Z2" s="103" t="s">
        <v>140</v>
      </c>
    </row>
    <row r="3" spans="1:26" ht="25.05" customHeight="1" thickBot="1" x14ac:dyDescent="0.35">
      <c r="A3" s="185" t="s">
        <v>178</v>
      </c>
      <c r="B3" s="181">
        <v>29</v>
      </c>
      <c r="D3" s="125" t="s">
        <v>21</v>
      </c>
      <c r="E3" s="194"/>
      <c r="F3" s="195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</v>
      </c>
      <c r="Y3" s="134"/>
      <c r="Z3" s="112" t="s">
        <v>60</v>
      </c>
    </row>
    <row r="4" spans="1:26" ht="25.05" customHeight="1" thickBot="1" x14ac:dyDescent="0.4">
      <c r="A4" s="179" t="s">
        <v>166</v>
      </c>
      <c r="B4" s="170"/>
      <c r="C4" s="170"/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476.20350000000002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250</v>
      </c>
      <c r="Y5" s="123" t="s">
        <v>57</v>
      </c>
      <c r="Z5" s="145"/>
    </row>
    <row r="6" spans="1:26" ht="36.6" x14ac:dyDescent="0.3">
      <c r="A6" s="109" t="s">
        <v>90</v>
      </c>
      <c r="B6" s="167">
        <v>357.23</v>
      </c>
      <c r="C6" s="168" t="s">
        <v>44</v>
      </c>
      <c r="D6" s="143"/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0.37630000000000002</v>
      </c>
      <c r="C7" s="156"/>
      <c r="D7" s="143"/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62.5</v>
      </c>
      <c r="Y8" s="123" t="s">
        <v>57</v>
      </c>
      <c r="Z8" s="145"/>
    </row>
    <row r="9" spans="1:26" ht="29.4" x14ac:dyDescent="0.35">
      <c r="A9" s="172" t="s">
        <v>175</v>
      </c>
      <c r="B9" s="173" t="s">
        <v>101</v>
      </c>
      <c r="C9" s="173" t="s">
        <v>100</v>
      </c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</v>
      </c>
      <c r="Y9" s="134"/>
      <c r="Z9" s="112"/>
    </row>
    <row r="10" spans="1:26" ht="25.05" customHeight="1" thickBot="1" x14ac:dyDescent="0.35">
      <c r="A10" s="174" t="s">
        <v>91</v>
      </c>
      <c r="B10" s="174">
        <v>990</v>
      </c>
      <c r="C10" s="174">
        <v>26</v>
      </c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74" t="s">
        <v>92</v>
      </c>
      <c r="B11" s="174">
        <v>996</v>
      </c>
      <c r="C11" s="174">
        <v>27</v>
      </c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15.625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74" t="s">
        <v>93</v>
      </c>
      <c r="B12" s="174">
        <v>1008</v>
      </c>
      <c r="C12" s="174">
        <v>27</v>
      </c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74" t="s">
        <v>103</v>
      </c>
      <c r="B13" s="174">
        <v>1008</v>
      </c>
      <c r="C13" s="174">
        <v>27</v>
      </c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sheetProtection sheet="1" objects="1" scenarios="1"/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833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96F0FC7-26CE-47EC-A130-73AB0E951CB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C62BCE3-F0DF-4A00-AEF9-630BFFA3FCE0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1BB73DF8-7988-4E08-8F81-E30844BF8D8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8B369-A24C-4A30-9DDC-AD5253CDA321}">
  <sheetPr codeName="Sheet37"/>
  <dimension ref="A1:AA36"/>
  <sheetViews>
    <sheetView topLeftCell="Q1" workbookViewId="0">
      <selection activeCell="X11" sqref="X11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thickBot="1" x14ac:dyDescent="0.35">
      <c r="A2" s="184" t="s">
        <v>145</v>
      </c>
      <c r="B2" s="187" t="s">
        <v>182</v>
      </c>
      <c r="D2" s="109" t="s">
        <v>31</v>
      </c>
      <c r="E2" s="110">
        <v>200</v>
      </c>
      <c r="F2" s="111" t="s">
        <v>80</v>
      </c>
      <c r="G2" s="112" t="s">
        <v>78</v>
      </c>
      <c r="H2" s="98" t="s">
        <v>144</v>
      </c>
      <c r="I2" s="113" t="s">
        <v>182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1333</v>
      </c>
      <c r="Y2" s="123" t="s">
        <v>57</v>
      </c>
      <c r="Z2" s="103" t="s">
        <v>140</v>
      </c>
    </row>
    <row r="3" spans="1:26" ht="25.05" customHeight="1" thickBot="1" x14ac:dyDescent="0.35">
      <c r="A3" s="185" t="s">
        <v>178</v>
      </c>
      <c r="B3" s="181">
        <v>28</v>
      </c>
      <c r="D3" s="125" t="s">
        <v>21</v>
      </c>
      <c r="E3" s="194"/>
      <c r="F3" s="195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</v>
      </c>
      <c r="Y3" s="134"/>
      <c r="Z3" s="112" t="s">
        <v>60</v>
      </c>
    </row>
    <row r="4" spans="1:26" ht="25.05" customHeight="1" thickBot="1" x14ac:dyDescent="0.4">
      <c r="A4" s="179" t="s">
        <v>166</v>
      </c>
      <c r="B4" s="170"/>
      <c r="C4" s="170"/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774.02239999999995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444</v>
      </c>
      <c r="Y5" s="123" t="s">
        <v>57</v>
      </c>
      <c r="Z5" s="145"/>
    </row>
    <row r="6" spans="1:26" ht="36.6" x14ac:dyDescent="0.3">
      <c r="A6" s="109" t="s">
        <v>90</v>
      </c>
      <c r="B6" s="167">
        <v>611.52</v>
      </c>
      <c r="C6" s="168" t="s">
        <v>44</v>
      </c>
      <c r="D6" s="143"/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0.36070000000000002</v>
      </c>
      <c r="C7" s="156"/>
      <c r="D7" s="143"/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148</v>
      </c>
      <c r="Y8" s="123" t="s">
        <v>57</v>
      </c>
      <c r="Z8" s="145"/>
    </row>
    <row r="9" spans="1:26" ht="29.4" x14ac:dyDescent="0.35">
      <c r="A9" s="172" t="s">
        <v>175</v>
      </c>
      <c r="B9" s="173" t="s">
        <v>101</v>
      </c>
      <c r="C9" s="173" t="s">
        <v>100</v>
      </c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</v>
      </c>
      <c r="Y9" s="134"/>
      <c r="Z9" s="112"/>
    </row>
    <row r="10" spans="1:26" ht="25.05" customHeight="1" thickBot="1" x14ac:dyDescent="0.35">
      <c r="A10" s="174" t="s">
        <v>91</v>
      </c>
      <c r="B10" s="174">
        <v>990</v>
      </c>
      <c r="C10" s="174">
        <v>26</v>
      </c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74" t="s">
        <v>92</v>
      </c>
      <c r="B11" s="174">
        <v>996</v>
      </c>
      <c r="C11" s="174">
        <v>27</v>
      </c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10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74" t="s">
        <v>93</v>
      </c>
      <c r="B12" s="174">
        <v>1008</v>
      </c>
      <c r="C12" s="174">
        <v>27</v>
      </c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74" t="s">
        <v>103</v>
      </c>
      <c r="B13" s="174">
        <v>1008</v>
      </c>
      <c r="C13" s="174">
        <v>27</v>
      </c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731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17AE51-6F94-4E01-AB50-5A67BE4D0F85}">
          <x14:formula1>
            <xm:f>'Base de données'!$G$2:$G$4</xm:f>
          </x14:formula1>
          <xm:sqref>L7</xm:sqref>
        </x14:dataValidation>
        <x14:dataValidation type="list" allowBlank="1" showInputMessage="1" showErrorMessage="1" xr:uid="{B1D5C17F-E382-4E4E-B1E5-ABFA3A5DF714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289717D1-06EA-4893-B114-34D6B9087AF1}">
          <x14:formula1>
            <xm:f>'Base de données'!$B$2:$B$24</xm:f>
          </x14:formula1>
          <xm:sqref>L22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6B005-6769-464F-A0DA-5D769E02EA70}">
  <sheetPr codeName="Sheet36"/>
  <dimension ref="A1:AA36"/>
  <sheetViews>
    <sheetView topLeftCell="Q1" workbookViewId="0">
      <selection activeCell="X9" sqref="X9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thickBot="1" x14ac:dyDescent="0.35">
      <c r="A2" s="184" t="s">
        <v>145</v>
      </c>
      <c r="B2" s="187" t="s">
        <v>183</v>
      </c>
      <c r="D2" s="109" t="s">
        <v>31</v>
      </c>
      <c r="E2" s="110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1333</v>
      </c>
      <c r="Y2" s="123" t="s">
        <v>57</v>
      </c>
      <c r="Z2" s="103" t="s">
        <v>140</v>
      </c>
    </row>
    <row r="3" spans="1:26" ht="25.05" customHeight="1" thickBot="1" x14ac:dyDescent="0.35">
      <c r="A3" s="185"/>
      <c r="B3" s="181"/>
      <c r="D3" s="125" t="s">
        <v>21</v>
      </c>
      <c r="E3" s="194"/>
      <c r="F3" s="195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79" t="s">
        <v>166</v>
      </c>
      <c r="B4" s="170"/>
      <c r="C4" s="170"/>
      <c r="D4" s="136" t="s">
        <v>171</v>
      </c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/>
      <c r="B5" s="165"/>
      <c r="C5" s="166"/>
      <c r="D5" s="146" t="s">
        <v>184</v>
      </c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444</v>
      </c>
      <c r="Y5" s="123" t="s">
        <v>57</v>
      </c>
      <c r="Z5" s="145"/>
    </row>
    <row r="6" spans="1:26" ht="36.6" x14ac:dyDescent="0.3">
      <c r="A6" s="109"/>
      <c r="B6" s="167"/>
      <c r="C6" s="168"/>
      <c r="D6" s="146" t="s">
        <v>185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/>
      <c r="B7" s="155"/>
      <c r="C7" s="156"/>
      <c r="D7" s="143"/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148</v>
      </c>
      <c r="Y8" s="123" t="s">
        <v>57</v>
      </c>
      <c r="Z8" s="145"/>
    </row>
    <row r="9" spans="1:26" ht="25.2" x14ac:dyDescent="0.35">
      <c r="A9" s="172" t="s">
        <v>175</v>
      </c>
      <c r="B9" s="96"/>
      <c r="C9" s="96"/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35"/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35"/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35"/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35"/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9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4E7004B-41AB-4F4F-B34C-6CC01A94BCEB}">
          <x14:formula1>
            <xm:f>'Base de données'!$G$2:$G$4</xm:f>
          </x14:formula1>
          <xm:sqref>L7</xm:sqref>
        </x14:dataValidation>
        <x14:dataValidation type="list" allowBlank="1" showInputMessage="1" showErrorMessage="1" xr:uid="{6C2BA8A3-8351-4F34-B4CB-C3D7FC0E2612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AB7D49DC-DBB1-4DFE-9CDB-3D03DCB7A374}">
          <x14:formula1>
            <xm:f>'Base de données'!$B$2:$B$24</xm:f>
          </x14:formula1>
          <xm:sqref>L22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9B5-9C9B-4CEB-B8DE-F908DAE17FD8}">
  <sheetPr codeName="Sheet35"/>
  <dimension ref="A1:AA36"/>
  <sheetViews>
    <sheetView topLeftCell="P1" workbookViewId="0">
      <selection activeCell="X2" sqref="X2:X10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thickBot="1" x14ac:dyDescent="0.35">
      <c r="A2" s="184" t="s">
        <v>145</v>
      </c>
      <c r="B2" s="187" t="s">
        <v>181</v>
      </c>
      <c r="D2" s="109" t="s">
        <v>31</v>
      </c>
      <c r="E2" s="110">
        <v>200</v>
      </c>
      <c r="F2" s="111" t="s">
        <v>80</v>
      </c>
      <c r="G2" s="112" t="s">
        <v>78</v>
      </c>
      <c r="H2" s="98" t="s">
        <v>144</v>
      </c>
      <c r="I2" s="113" t="s">
        <v>182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1333</v>
      </c>
      <c r="Y2" s="123" t="s">
        <v>57</v>
      </c>
      <c r="Z2" s="103" t="s">
        <v>140</v>
      </c>
    </row>
    <row r="3" spans="1:26" ht="25.05" customHeight="1" thickBot="1" x14ac:dyDescent="0.35">
      <c r="A3" s="185" t="s">
        <v>178</v>
      </c>
      <c r="B3" s="181">
        <v>28</v>
      </c>
      <c r="D3" s="125" t="s">
        <v>21</v>
      </c>
      <c r="E3" s="194"/>
      <c r="F3" s="195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79" t="s">
        <v>166</v>
      </c>
      <c r="B4" s="170"/>
      <c r="C4" s="170"/>
      <c r="D4" s="136" t="s">
        <v>112</v>
      </c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444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148</v>
      </c>
      <c r="Y8" s="123" t="s">
        <v>57</v>
      </c>
      <c r="Z8" s="145"/>
    </row>
    <row r="9" spans="1:26" ht="29.4" x14ac:dyDescent="0.35">
      <c r="A9" s="172" t="s">
        <v>175</v>
      </c>
      <c r="B9" s="173" t="s">
        <v>101</v>
      </c>
      <c r="C9" s="173" t="s">
        <v>100</v>
      </c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74" t="s">
        <v>91</v>
      </c>
      <c r="B10" s="174">
        <v>990</v>
      </c>
      <c r="C10" s="174">
        <v>26</v>
      </c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74" t="s">
        <v>92</v>
      </c>
      <c r="B11" s="174">
        <v>1038</v>
      </c>
      <c r="C11" s="174">
        <v>28</v>
      </c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74" t="s">
        <v>93</v>
      </c>
      <c r="B12" s="174">
        <v>1049</v>
      </c>
      <c r="C12" s="174">
        <v>28</v>
      </c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74" t="s">
        <v>103</v>
      </c>
      <c r="B13" s="174">
        <v>1049</v>
      </c>
      <c r="C13" s="174">
        <v>28</v>
      </c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526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72D40C5-4CFB-49A0-A5CE-308267FC42EB}">
          <x14:formula1>
            <xm:f>'Base de données'!$G$2:$G$4</xm:f>
          </x14:formula1>
          <xm:sqref>L7</xm:sqref>
        </x14:dataValidation>
        <x14:dataValidation type="list" allowBlank="1" showInputMessage="1" showErrorMessage="1" xr:uid="{0551351F-7A00-4B6B-A22B-769B5C6815E3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72B6170B-B071-43B5-A7B4-74EAF42FC36D}">
          <x14:formula1>
            <xm:f>'Base de données'!$B$2:$B$24</xm:f>
          </x14:formula1>
          <xm:sqref>L22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E4690-57DC-4D9F-9257-B3CD7F84799F}">
  <sheetPr codeName="Sheet34"/>
  <dimension ref="A1:AA36"/>
  <sheetViews>
    <sheetView topLeftCell="A214" workbookViewId="0">
      <selection activeCell="E9" sqref="E9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thickBot="1" x14ac:dyDescent="0.35">
      <c r="A2" s="184" t="s">
        <v>145</v>
      </c>
      <c r="B2" s="187" t="s">
        <v>180</v>
      </c>
      <c r="D2" s="109" t="s">
        <v>31</v>
      </c>
      <c r="E2" s="25">
        <v>450</v>
      </c>
      <c r="F2" s="111" t="s">
        <v>80</v>
      </c>
      <c r="G2" s="189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85" t="s">
        <v>178</v>
      </c>
      <c r="B3" s="181">
        <v>27</v>
      </c>
      <c r="D3" s="125" t="s">
        <v>21</v>
      </c>
      <c r="E3" s="190">
        <v>0.35520000000000002</v>
      </c>
      <c r="F3" s="191"/>
      <c r="G3" s="188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79" t="s">
        <v>166</v>
      </c>
      <c r="B4" s="170"/>
      <c r="C4" s="170"/>
      <c r="D4" s="136" t="s">
        <v>112</v>
      </c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9.4" x14ac:dyDescent="0.35">
      <c r="A9" s="172" t="s">
        <v>175</v>
      </c>
      <c r="B9" s="173" t="s">
        <v>101</v>
      </c>
      <c r="C9" s="173" t="s">
        <v>100</v>
      </c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74" t="s">
        <v>91</v>
      </c>
      <c r="B10" s="174">
        <v>990</v>
      </c>
      <c r="C10" s="174">
        <v>26</v>
      </c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74" t="s">
        <v>92</v>
      </c>
      <c r="B11" s="174">
        <v>1038</v>
      </c>
      <c r="C11" s="174">
        <v>28</v>
      </c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74" t="s">
        <v>93</v>
      </c>
      <c r="B12" s="174">
        <v>1049</v>
      </c>
      <c r="C12" s="174">
        <v>28</v>
      </c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74" t="s">
        <v>103</v>
      </c>
      <c r="B13" s="174">
        <v>1049</v>
      </c>
      <c r="C13" s="174">
        <v>28</v>
      </c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mergeCells count="19">
    <mergeCell ref="V26:V28"/>
    <mergeCell ref="V29:V31"/>
    <mergeCell ref="E3:F3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424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BB24019-2C27-44E0-89F8-E23ED9B22700}">
          <x14:formula1>
            <xm:f>'Base de données'!$G$2:$G$4</xm:f>
          </x14:formula1>
          <xm:sqref>L7</xm:sqref>
        </x14:dataValidation>
        <x14:dataValidation type="list" allowBlank="1" showInputMessage="1" showErrorMessage="1" xr:uid="{189165BC-3F29-41FC-9B7E-9A15F3D07450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0B49763-A4FA-4D4C-BCF2-83AE67CDF89C}">
          <x14:formula1>
            <xm:f>'Base de données'!$B$2:$B$24</xm:f>
          </x14:formula1>
          <xm:sqref>L22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A4960-AE5E-4117-9A59-2DAE63658E7C}">
  <sheetPr codeName="Sheet33"/>
  <dimension ref="A1:AA36"/>
  <sheetViews>
    <sheetView workbookViewId="0">
      <selection activeCell="B3" sqref="B3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thickBot="1" x14ac:dyDescent="0.35">
      <c r="A2" s="176" t="s">
        <v>145</v>
      </c>
      <c r="B2" s="94" t="s">
        <v>179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77" t="s">
        <v>178</v>
      </c>
      <c r="B3" s="178">
        <v>26</v>
      </c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79" t="s">
        <v>166</v>
      </c>
      <c r="B4" s="170"/>
      <c r="C4" s="170"/>
      <c r="D4" s="136" t="s">
        <v>112</v>
      </c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9.4" x14ac:dyDescent="0.35">
      <c r="A9" s="172" t="s">
        <v>175</v>
      </c>
      <c r="B9" s="173" t="s">
        <v>101</v>
      </c>
      <c r="C9" s="173" t="s">
        <v>100</v>
      </c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74" t="s">
        <v>91</v>
      </c>
      <c r="B10" s="174">
        <v>990</v>
      </c>
      <c r="C10" s="174">
        <v>26</v>
      </c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74" t="s">
        <v>92</v>
      </c>
      <c r="B11" s="174">
        <v>1038</v>
      </c>
      <c r="C11" s="174">
        <v>28</v>
      </c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74" t="s">
        <v>93</v>
      </c>
      <c r="B12" s="174">
        <v>1049</v>
      </c>
      <c r="C12" s="174">
        <v>28</v>
      </c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74" t="s">
        <v>103</v>
      </c>
      <c r="B13" s="174">
        <v>1049</v>
      </c>
      <c r="C13" s="174">
        <v>28</v>
      </c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321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A479E0-C7D5-4FFC-8C33-BA52F5D2C7BD}">
          <x14:formula1>
            <xm:f>'Base de données'!$G$2:$G$4</xm:f>
          </x14:formula1>
          <xm:sqref>L7</xm:sqref>
        </x14:dataValidation>
        <x14:dataValidation type="list" allowBlank="1" showInputMessage="1" showErrorMessage="1" xr:uid="{8ED179F3-AE37-4ECE-A098-EE424B9733D7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49007A2-30D3-42D2-8963-F88547B509B6}">
          <x14:formula1>
            <xm:f>'Base de données'!$B$2:$B$24</xm:f>
          </x14:formula1>
          <xm:sqref>L22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62808-7A8E-47C7-9D75-AA539200DD2C}">
  <sheetPr codeName="Sheet32"/>
  <dimension ref="A1:AA36"/>
  <sheetViews>
    <sheetView workbookViewId="0">
      <selection activeCell="G9" sqref="G9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x14ac:dyDescent="0.3">
      <c r="A2" s="108" t="s">
        <v>145</v>
      </c>
      <c r="B2" s="100" t="s">
        <v>177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24" t="s">
        <v>178</v>
      </c>
      <c r="B3" s="100">
        <v>27</v>
      </c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69" t="s">
        <v>166</v>
      </c>
      <c r="B4" s="170"/>
      <c r="C4" s="170"/>
      <c r="D4" s="136" t="s">
        <v>112</v>
      </c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9.4" x14ac:dyDescent="0.35">
      <c r="A9" s="172" t="s">
        <v>175</v>
      </c>
      <c r="B9" s="173" t="s">
        <v>101</v>
      </c>
      <c r="C9" s="173" t="s">
        <v>100</v>
      </c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74" t="s">
        <v>91</v>
      </c>
      <c r="B10" s="174">
        <v>990</v>
      </c>
      <c r="C10" s="174">
        <v>26</v>
      </c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74" t="s">
        <v>92</v>
      </c>
      <c r="B11" s="174">
        <v>1038</v>
      </c>
      <c r="C11" s="174">
        <v>28</v>
      </c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74" t="s">
        <v>93</v>
      </c>
      <c r="B12" s="174">
        <v>1049</v>
      </c>
      <c r="C12" s="174">
        <v>28</v>
      </c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74" t="s">
        <v>103</v>
      </c>
      <c r="B13" s="174">
        <v>1049</v>
      </c>
      <c r="C13" s="174">
        <v>28</v>
      </c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19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F3D0FA-9AF3-44F8-AD91-EB75D771A57A}">
          <x14:formula1>
            <xm:f>'Base de données'!$G$2:$G$4</xm:f>
          </x14:formula1>
          <xm:sqref>L7</xm:sqref>
        </x14:dataValidation>
        <x14:dataValidation type="list" allowBlank="1" showInputMessage="1" showErrorMessage="1" xr:uid="{9E3BB9F9-12D1-4766-BD30-EFC084179407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40B3C634-557B-4FB1-A146-EAB665D9D30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8EA94-B19F-481B-B820-10FAE49264EA}">
  <sheetPr codeName="Sheet31"/>
  <dimension ref="A1:AA36"/>
  <sheetViews>
    <sheetView workbookViewId="0">
      <selection activeCell="D9" sqref="D9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37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x14ac:dyDescent="0.3">
      <c r="A2" s="108" t="s">
        <v>145</v>
      </c>
      <c r="B2" s="100" t="s">
        <v>176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24" t="s">
        <v>99</v>
      </c>
      <c r="B3" s="100">
        <v>0.46033422946929931</v>
      </c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69" t="s">
        <v>166</v>
      </c>
      <c r="B4" s="170"/>
      <c r="C4" s="170"/>
      <c r="D4" s="136" t="s">
        <v>112</v>
      </c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9.4" x14ac:dyDescent="0.35">
      <c r="A9" s="172" t="s">
        <v>175</v>
      </c>
      <c r="B9" s="173" t="s">
        <v>101</v>
      </c>
      <c r="C9" s="173" t="s">
        <v>100</v>
      </c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74" t="s">
        <v>91</v>
      </c>
      <c r="B10" s="174">
        <v>990</v>
      </c>
      <c r="C10" s="174">
        <v>26</v>
      </c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74" t="s">
        <v>92</v>
      </c>
      <c r="B11" s="174">
        <v>1038</v>
      </c>
      <c r="C11" s="174">
        <v>28</v>
      </c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74" t="s">
        <v>93</v>
      </c>
      <c r="B12" s="174">
        <v>1049</v>
      </c>
      <c r="C12" s="174">
        <v>28</v>
      </c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74" t="s">
        <v>103</v>
      </c>
      <c r="B13" s="174">
        <v>1049</v>
      </c>
      <c r="C13" s="174">
        <v>28</v>
      </c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</row>
    <row r="33" spans="1:27" s="88" customFormat="1" ht="15" customHeight="1" x14ac:dyDescent="0.3">
      <c r="A33" s="135"/>
      <c r="B33" s="100"/>
      <c r="C33" s="100"/>
      <c r="D33" s="100"/>
      <c r="E33" s="100"/>
      <c r="F33" s="100"/>
      <c r="G33" s="137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4"/>
      <c r="W33" s="137"/>
      <c r="X33" s="137"/>
      <c r="Y33" s="137"/>
      <c r="Z33" s="137"/>
      <c r="AA33" s="137"/>
    </row>
    <row r="34" spans="1:27" s="88" customFormat="1" ht="15" customHeight="1" x14ac:dyDescent="0.3">
      <c r="A34" s="135"/>
      <c r="B34" s="100"/>
      <c r="C34" s="100"/>
      <c r="D34" s="100"/>
      <c r="E34" s="100"/>
      <c r="F34" s="100"/>
      <c r="G34" s="137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4"/>
      <c r="W34" s="137"/>
      <c r="X34" s="137"/>
      <c r="Y34" s="137"/>
      <c r="Z34" s="137"/>
      <c r="AA34" s="137"/>
    </row>
    <row r="35" spans="1:27" s="88" customFormat="1" ht="15" customHeight="1" x14ac:dyDescent="0.3">
      <c r="A35" s="135"/>
      <c r="B35" s="100"/>
      <c r="C35" s="100"/>
      <c r="D35" s="100"/>
      <c r="E35" s="100"/>
      <c r="F35" s="100"/>
      <c r="G35" s="137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4"/>
      <c r="W35" s="137"/>
      <c r="X35" s="137"/>
      <c r="Y35" s="137"/>
      <c r="Z35" s="137"/>
      <c r="AA35" s="137"/>
    </row>
    <row r="36" spans="1:27" s="88" customFormat="1" ht="15" customHeight="1" x14ac:dyDescent="0.3">
      <c r="A36" s="170"/>
      <c r="B36" s="170"/>
      <c r="C36" s="170"/>
      <c r="D36" s="170"/>
      <c r="E36" s="170"/>
      <c r="F36" s="170"/>
      <c r="G36" s="137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4"/>
      <c r="W36" s="137"/>
      <c r="X36" s="137"/>
      <c r="Y36" s="137"/>
      <c r="Z36" s="137"/>
      <c r="AA36" s="13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17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829826E-77C9-477A-A650-FB87EBBD8A9A}">
          <x14:formula1>
            <xm:f>'Base de données'!$G$2:$G$4</xm:f>
          </x14:formula1>
          <xm:sqref>L7</xm:sqref>
        </x14:dataValidation>
        <x14:dataValidation type="list" allowBlank="1" showInputMessage="1" showErrorMessage="1" xr:uid="{CD2B8FEF-EDC5-4F55-B020-CAEDA269FBC4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ABD5BA79-E19F-4E9C-AC58-9726A6AA9861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6988C-777C-48BA-A8EF-829295DDF61C}">
  <sheetPr codeName="Sheet30"/>
  <dimension ref="A1:AA36"/>
  <sheetViews>
    <sheetView topLeftCell="A22" workbookViewId="0">
      <selection activeCell="F11" sqref="F11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00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x14ac:dyDescent="0.3">
      <c r="A2" s="108" t="s">
        <v>145</v>
      </c>
      <c r="B2" s="100" t="s">
        <v>174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24" t="s">
        <v>99</v>
      </c>
      <c r="B3" s="100">
        <v>1.3129943331082663</v>
      </c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69" t="s">
        <v>166</v>
      </c>
      <c r="B4" s="170"/>
      <c r="C4" s="170"/>
      <c r="D4" s="136" t="s">
        <v>112</v>
      </c>
      <c r="G4" s="137"/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9.4" x14ac:dyDescent="0.35">
      <c r="A9" s="172" t="s">
        <v>169</v>
      </c>
      <c r="B9" s="173" t="s">
        <v>101</v>
      </c>
      <c r="C9" s="173" t="s">
        <v>100</v>
      </c>
      <c r="G9" s="137"/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35" t="s">
        <v>91</v>
      </c>
      <c r="B10" s="174">
        <v>990</v>
      </c>
      <c r="C10" s="174">
        <v>26</v>
      </c>
      <c r="G10" s="137"/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35" t="s">
        <v>92</v>
      </c>
      <c r="B11" s="174">
        <v>1038</v>
      </c>
      <c r="C11" s="174">
        <v>28</v>
      </c>
      <c r="G11" s="137"/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35" t="s">
        <v>93</v>
      </c>
      <c r="B12" s="174">
        <v>1049</v>
      </c>
      <c r="C12" s="174">
        <v>28</v>
      </c>
      <c r="G12" s="137"/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35" t="s">
        <v>103</v>
      </c>
      <c r="B13" s="174">
        <v>1049</v>
      </c>
      <c r="C13" s="174">
        <v>28</v>
      </c>
      <c r="G13" s="137"/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G14" s="137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G15" s="137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G16" s="137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G17" s="137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G18" s="137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G19" s="137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G20" s="137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G21" s="137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G22" s="137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G23" s="137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G24" s="137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G25" s="137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G26" s="137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G27" s="137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G28" s="137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G29" s="137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G30" s="137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G31" s="137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  <c r="G32" s="137"/>
    </row>
    <row r="33" spans="1:7" ht="15" customHeight="1" x14ac:dyDescent="0.3">
      <c r="A33" s="135"/>
      <c r="G33" s="137"/>
    </row>
    <row r="34" spans="1:7" ht="15" customHeight="1" x14ac:dyDescent="0.3">
      <c r="A34" s="135"/>
      <c r="G34" s="137"/>
    </row>
    <row r="35" spans="1:7" ht="15" customHeight="1" x14ac:dyDescent="0.3">
      <c r="A35" s="135"/>
      <c r="G35" s="137"/>
    </row>
    <row r="36" spans="1:7" ht="15" customHeight="1" thickBot="1" x14ac:dyDescent="0.35">
      <c r="A36" s="154"/>
      <c r="B36" s="155"/>
      <c r="C36" s="155"/>
      <c r="D36" s="155"/>
      <c r="E36" s="155"/>
      <c r="F36" s="155"/>
      <c r="G36" s="156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1BD7D36-EC55-4FAF-A09F-EA6E0B284A9B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8316DFD-01EB-464C-9343-87A6438DCA13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E0028D61-3DFE-4FDF-A72C-367AAE5497F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32106-FCC2-49C5-9CFC-972BBF84C127}">
  <sheetPr codeName="Sheet29"/>
  <dimension ref="A1:AA36"/>
  <sheetViews>
    <sheetView workbookViewId="0">
      <selection activeCell="D6" sqref="D6:G6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00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x14ac:dyDescent="0.3">
      <c r="A2" s="108" t="s">
        <v>145</v>
      </c>
      <c r="B2" s="100" t="s">
        <v>170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24"/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69" t="s">
        <v>166</v>
      </c>
      <c r="B4" s="170"/>
      <c r="C4" s="170"/>
      <c r="D4" s="136" t="s">
        <v>171</v>
      </c>
      <c r="G4" s="137"/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6" t="s">
        <v>172</v>
      </c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173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9.4" x14ac:dyDescent="0.35">
      <c r="A9" s="172" t="s">
        <v>169</v>
      </c>
      <c r="B9" s="96" t="s">
        <v>101</v>
      </c>
      <c r="C9" s="96"/>
      <c r="G9" s="137"/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35"/>
      <c r="G10" s="137"/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35"/>
      <c r="G11" s="137"/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35"/>
      <c r="G12" s="137"/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35"/>
      <c r="G13" s="137"/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G14" s="137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G15" s="137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G16" s="137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G17" s="137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G18" s="137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G19" s="137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G20" s="137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G21" s="137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G22" s="137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G23" s="137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G24" s="137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G25" s="137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G26" s="137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G27" s="137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G28" s="137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G29" s="137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G30" s="137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G31" s="137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  <c r="G32" s="137"/>
    </row>
    <row r="33" spans="1:7" ht="15" customHeight="1" x14ac:dyDescent="0.3">
      <c r="A33" s="135"/>
      <c r="G33" s="137"/>
    </row>
    <row r="34" spans="1:7" ht="15" customHeight="1" x14ac:dyDescent="0.3">
      <c r="A34" s="135"/>
      <c r="G34" s="137"/>
    </row>
    <row r="35" spans="1:7" ht="15" customHeight="1" x14ac:dyDescent="0.3">
      <c r="A35" s="135"/>
      <c r="G35" s="137"/>
    </row>
    <row r="36" spans="1:7" ht="15" customHeight="1" thickBot="1" x14ac:dyDescent="0.35">
      <c r="A36" s="154"/>
      <c r="B36" s="155"/>
      <c r="C36" s="155"/>
      <c r="D36" s="155"/>
      <c r="E36" s="155"/>
      <c r="F36" s="155"/>
      <c r="G36" s="156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638A1A8-F1C2-4EAD-BB21-2CE68B57090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63644771-AD80-4888-B6FC-94B442DB72D2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209A6D8F-6638-41BC-8DA5-279F44103CB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DC533-7747-48A5-8E94-C0F250B3DFE3}">
  <sheetPr codeName="Sheet28"/>
  <dimension ref="A1:AA36"/>
  <sheetViews>
    <sheetView topLeftCell="A2" workbookViewId="0">
      <selection activeCell="A9" sqref="A9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00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x14ac:dyDescent="0.3">
      <c r="A2" s="108" t="s">
        <v>145</v>
      </c>
      <c r="B2" s="100" t="s">
        <v>168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24" t="s">
        <v>99</v>
      </c>
      <c r="B3" s="100">
        <v>0.44904917875925698</v>
      </c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69" t="s">
        <v>166</v>
      </c>
      <c r="B4" s="170"/>
      <c r="C4" s="170"/>
      <c r="D4" s="136" t="s">
        <v>112</v>
      </c>
      <c r="G4" s="137"/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8.8" x14ac:dyDescent="0.3">
      <c r="A9" s="135"/>
      <c r="B9" s="96" t="s">
        <v>101</v>
      </c>
      <c r="C9" s="96" t="s">
        <v>100</v>
      </c>
      <c r="G9" s="137"/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35" t="s">
        <v>91</v>
      </c>
      <c r="B10" s="100">
        <v>990</v>
      </c>
      <c r="C10" s="100">
        <v>26</v>
      </c>
      <c r="G10" s="137"/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35" t="s">
        <v>92</v>
      </c>
      <c r="B11" s="100">
        <v>1038</v>
      </c>
      <c r="C11" s="100">
        <v>28</v>
      </c>
      <c r="G11" s="137"/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35" t="s">
        <v>93</v>
      </c>
      <c r="B12" s="100">
        <v>1049</v>
      </c>
      <c r="C12" s="100">
        <v>28</v>
      </c>
      <c r="G12" s="137"/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35" t="s">
        <v>103</v>
      </c>
      <c r="B13" s="100">
        <v>1049</v>
      </c>
      <c r="C13" s="100">
        <v>28</v>
      </c>
      <c r="G13" s="137"/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G14" s="137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G15" s="137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G16" s="137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G17" s="137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G18" s="137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G19" s="137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G20" s="137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G21" s="137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G22" s="137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G23" s="137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G24" s="137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G25" s="137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G26" s="137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G27" s="137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G28" s="137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G29" s="137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G30" s="137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G31" s="137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  <c r="G32" s="137"/>
    </row>
    <row r="33" spans="1:7" ht="15" customHeight="1" x14ac:dyDescent="0.3">
      <c r="A33" s="135"/>
      <c r="G33" s="137"/>
    </row>
    <row r="34" spans="1:7" ht="15" customHeight="1" x14ac:dyDescent="0.3">
      <c r="A34" s="135"/>
      <c r="G34" s="137"/>
    </row>
    <row r="35" spans="1:7" ht="15" customHeight="1" x14ac:dyDescent="0.3">
      <c r="A35" s="135"/>
      <c r="G35" s="137"/>
    </row>
    <row r="36" spans="1:7" ht="15" customHeight="1" thickBot="1" x14ac:dyDescent="0.35">
      <c r="A36" s="154"/>
      <c r="B36" s="155"/>
      <c r="C36" s="155"/>
      <c r="D36" s="155"/>
      <c r="E36" s="155"/>
      <c r="F36" s="155"/>
      <c r="G36" s="156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6E2BAB-A12A-48F4-B71E-D95E102705A9}">
          <x14:formula1>
            <xm:f>'Base de données'!$G$2:$G$4</xm:f>
          </x14:formula1>
          <xm:sqref>L7</xm:sqref>
        </x14:dataValidation>
        <x14:dataValidation type="list" allowBlank="1" showInputMessage="1" showErrorMessage="1" xr:uid="{008C2EBD-DD60-42D9-AB5D-27BA9B19B489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077F74D-5EEF-4603-981B-90A6F18F83DC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9954-E5BE-41AE-8054-63A722449B7C}">
  <sheetPr codeName="Sheet27"/>
  <dimension ref="A1:AA36"/>
  <sheetViews>
    <sheetView workbookViewId="0">
      <selection activeCell="B9" sqref="B9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00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x14ac:dyDescent="0.3">
      <c r="A2" s="108" t="s">
        <v>145</v>
      </c>
      <c r="B2" s="100" t="s">
        <v>167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24" t="s">
        <v>99</v>
      </c>
      <c r="B3" s="100">
        <v>0.45575564304987587</v>
      </c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4">
      <c r="A4" s="163" t="s">
        <v>166</v>
      </c>
      <c r="B4" s="93"/>
      <c r="C4" s="94"/>
      <c r="D4" s="136" t="s">
        <v>112</v>
      </c>
      <c r="G4" s="137"/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64" t="s">
        <v>31</v>
      </c>
      <c r="B5" s="165">
        <v>712.6952</v>
      </c>
      <c r="C5" s="166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09" t="s">
        <v>90</v>
      </c>
      <c r="B6" s="167">
        <v>649.79999999999995</v>
      </c>
      <c r="C6" s="168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25" t="s">
        <v>21</v>
      </c>
      <c r="B7" s="155">
        <v>0.36009999999999998</v>
      </c>
      <c r="C7" s="156"/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8.8" x14ac:dyDescent="0.3">
      <c r="A9" s="135"/>
      <c r="B9" s="96" t="s">
        <v>101</v>
      </c>
      <c r="C9" s="96" t="s">
        <v>100</v>
      </c>
      <c r="G9" s="137"/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35" t="s">
        <v>91</v>
      </c>
      <c r="B10" s="100">
        <v>990</v>
      </c>
      <c r="C10" s="100">
        <v>26</v>
      </c>
      <c r="G10" s="137"/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35" t="s">
        <v>92</v>
      </c>
      <c r="B11" s="100">
        <v>1038</v>
      </c>
      <c r="C11" s="100">
        <v>28</v>
      </c>
      <c r="G11" s="137"/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35" t="s">
        <v>93</v>
      </c>
      <c r="B12" s="100">
        <v>1049</v>
      </c>
      <c r="C12" s="100">
        <v>28</v>
      </c>
      <c r="G12" s="137"/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35" t="s">
        <v>103</v>
      </c>
      <c r="B13" s="100">
        <v>1049</v>
      </c>
      <c r="C13" s="100">
        <v>28</v>
      </c>
      <c r="G13" s="137"/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G14" s="137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G15" s="137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G16" s="137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G17" s="137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G18" s="137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G19" s="137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G20" s="137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G21" s="137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G22" s="137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G23" s="137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G24" s="137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G25" s="137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G26" s="137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G27" s="137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G28" s="137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G29" s="137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G30" s="137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G31" s="137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  <c r="G32" s="137"/>
    </row>
    <row r="33" spans="1:7" ht="15" customHeight="1" x14ac:dyDescent="0.3">
      <c r="A33" s="135"/>
      <c r="G33" s="137"/>
    </row>
    <row r="34" spans="1:7" ht="15" customHeight="1" x14ac:dyDescent="0.3">
      <c r="A34" s="135"/>
      <c r="G34" s="137"/>
    </row>
    <row r="35" spans="1:7" ht="15" customHeight="1" x14ac:dyDescent="0.3">
      <c r="A35" s="135"/>
      <c r="G35" s="137"/>
    </row>
    <row r="36" spans="1:7" ht="15" customHeight="1" thickBot="1" x14ac:dyDescent="0.35">
      <c r="A36" s="154"/>
      <c r="B36" s="155"/>
      <c r="C36" s="155"/>
      <c r="D36" s="155"/>
      <c r="E36" s="155"/>
      <c r="F36" s="155"/>
      <c r="G36" s="156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422DCE-0D86-4C66-9B47-11865B5889E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4D5A92D0-9469-42A8-876D-B842C2BD5023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F1D22DE-A08E-4254-8A4E-967BB372CE3F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2EBE8-3298-48CC-B5BD-0451F4B468E9}">
  <sheetPr codeName="Sheet26"/>
  <dimension ref="A1:AA36"/>
  <sheetViews>
    <sheetView workbookViewId="0">
      <selection activeCell="C7" sqref="C7"/>
    </sheetView>
  </sheetViews>
  <sheetFormatPr defaultRowHeight="15.6" x14ac:dyDescent="0.3"/>
  <cols>
    <col min="1" max="1" width="26.33203125" style="100" customWidth="1"/>
    <col min="2" max="2" width="22.109375" style="100" customWidth="1"/>
    <col min="3" max="3" width="12.109375" style="100" customWidth="1"/>
    <col min="4" max="4" width="14.44140625" style="100" bestFit="1" customWidth="1"/>
    <col min="5" max="5" width="10.109375" style="100" customWidth="1"/>
    <col min="6" max="6" width="4.88671875" style="100" customWidth="1"/>
    <col min="7" max="7" width="20.33203125" style="100" customWidth="1"/>
    <col min="8" max="8" width="17.5546875" style="100" bestFit="1" customWidth="1"/>
    <col min="9" max="10" width="8.88671875" style="100" customWidth="1"/>
    <col min="11" max="11" width="37.109375" style="100" bestFit="1" customWidth="1"/>
    <col min="12" max="12" width="16.109375" style="100" bestFit="1" customWidth="1"/>
    <col min="13" max="13" width="4.5546875" style="100" bestFit="1" customWidth="1"/>
    <col min="14" max="14" width="24.77734375" style="100" bestFit="1" customWidth="1"/>
    <col min="15" max="15" width="8.88671875" style="100"/>
    <col min="16" max="16" width="19.5546875" style="100" bestFit="1" customWidth="1"/>
    <col min="17" max="17" width="27" style="100" bestFit="1" customWidth="1"/>
    <col min="18" max="18" width="12.5546875" style="100" bestFit="1" customWidth="1"/>
    <col min="19" max="19" width="4.33203125" style="100" bestFit="1" customWidth="1"/>
    <col min="20" max="20" width="35" style="100" bestFit="1" customWidth="1"/>
    <col min="21" max="21" width="8.88671875" style="100"/>
    <col min="22" max="22" width="5.44140625" style="104" customWidth="1"/>
    <col min="23" max="23" width="24.6640625" style="100" bestFit="1" customWidth="1"/>
    <col min="24" max="24" width="27.44140625" style="100" bestFit="1" customWidth="1"/>
    <col min="25" max="25" width="8.88671875" style="100"/>
    <col min="26" max="26" width="35" style="100" bestFit="1" customWidth="1"/>
    <col min="27" max="27" width="8.88671875" style="100"/>
    <col min="28" max="16384" width="8.88671875" style="21"/>
  </cols>
  <sheetData>
    <row r="1" spans="1:26" ht="33" customHeight="1" thickBot="1" x14ac:dyDescent="0.5">
      <c r="A1" s="89" t="s">
        <v>29</v>
      </c>
      <c r="B1" s="90"/>
      <c r="C1" s="90"/>
      <c r="D1" s="91"/>
      <c r="E1" s="92" t="s">
        <v>30</v>
      </c>
      <c r="F1" s="93"/>
      <c r="G1" s="94"/>
      <c r="H1" s="95" t="s">
        <v>28</v>
      </c>
      <c r="I1" s="95"/>
      <c r="J1" s="95"/>
      <c r="K1" s="96"/>
      <c r="L1" s="97" t="s">
        <v>27</v>
      </c>
      <c r="M1" s="98"/>
      <c r="N1" s="99" t="s">
        <v>34</v>
      </c>
      <c r="P1" s="96"/>
      <c r="Q1" s="96"/>
      <c r="R1" s="101" t="s">
        <v>86</v>
      </c>
      <c r="S1" s="102"/>
      <c r="T1" s="103" t="s">
        <v>34</v>
      </c>
      <c r="X1" s="105" t="s">
        <v>56</v>
      </c>
      <c r="Y1" s="106"/>
      <c r="Z1" s="107" t="s">
        <v>34</v>
      </c>
    </row>
    <row r="2" spans="1:26" ht="25.05" customHeight="1" x14ac:dyDescent="0.3">
      <c r="A2" s="108" t="s">
        <v>145</v>
      </c>
      <c r="B2" s="100" t="s">
        <v>165</v>
      </c>
      <c r="D2" s="109" t="s">
        <v>31</v>
      </c>
      <c r="E2" s="25">
        <v>200</v>
      </c>
      <c r="F2" s="111" t="s">
        <v>80</v>
      </c>
      <c r="G2" s="112" t="s">
        <v>78</v>
      </c>
      <c r="H2" s="98" t="s">
        <v>144</v>
      </c>
      <c r="I2" s="113" t="s">
        <v>162</v>
      </c>
      <c r="J2" s="96"/>
      <c r="K2" s="114" t="s">
        <v>5</v>
      </c>
      <c r="L2" s="115">
        <v>0.2</v>
      </c>
      <c r="M2" s="116"/>
      <c r="N2" s="103" t="s">
        <v>35</v>
      </c>
      <c r="P2" s="117" t="s">
        <v>41</v>
      </c>
      <c r="Q2" s="118" t="s">
        <v>42</v>
      </c>
      <c r="R2" s="119">
        <v>570</v>
      </c>
      <c r="S2" s="111" t="s">
        <v>44</v>
      </c>
      <c r="T2" s="103" t="s">
        <v>58</v>
      </c>
      <c r="V2" s="120">
        <v>1</v>
      </c>
      <c r="W2" s="121" t="s">
        <v>52</v>
      </c>
      <c r="X2" s="122">
        <v>2000</v>
      </c>
      <c r="Y2" s="123" t="s">
        <v>57</v>
      </c>
      <c r="Z2" s="103" t="s">
        <v>140</v>
      </c>
    </row>
    <row r="3" spans="1:26" ht="25.05" customHeight="1" thickBot="1" x14ac:dyDescent="0.35">
      <c r="A3" s="124" t="s">
        <v>99</v>
      </c>
      <c r="B3" s="100">
        <v>0.4830638806025187</v>
      </c>
      <c r="D3" s="125" t="s">
        <v>21</v>
      </c>
      <c r="E3" s="30"/>
      <c r="F3" s="126"/>
      <c r="G3" s="127" t="s">
        <v>79</v>
      </c>
      <c r="H3" s="96"/>
      <c r="I3" s="96"/>
      <c r="J3" s="96"/>
      <c r="K3" s="118" t="s">
        <v>6</v>
      </c>
      <c r="L3" s="128">
        <v>0.95</v>
      </c>
      <c r="M3" s="129"/>
      <c r="N3" s="103"/>
      <c r="P3" s="130"/>
      <c r="Q3" s="118" t="s">
        <v>43</v>
      </c>
      <c r="R3" s="119">
        <v>1000</v>
      </c>
      <c r="S3" s="111" t="s">
        <v>45</v>
      </c>
      <c r="T3" s="103" t="s">
        <v>59</v>
      </c>
      <c r="V3" s="131"/>
      <c r="W3" s="132" t="s">
        <v>61</v>
      </c>
      <c r="X3" s="133">
        <v>0.15</v>
      </c>
      <c r="Y3" s="134"/>
      <c r="Z3" s="112" t="s">
        <v>60</v>
      </c>
    </row>
    <row r="4" spans="1:26" ht="25.05" customHeight="1" thickBot="1" x14ac:dyDescent="0.35">
      <c r="A4" s="135"/>
      <c r="D4" s="136" t="s">
        <v>112</v>
      </c>
      <c r="G4" s="137"/>
      <c r="H4" s="96"/>
      <c r="I4" s="96"/>
      <c r="J4" s="96"/>
      <c r="K4" s="118" t="s">
        <v>22</v>
      </c>
      <c r="L4" s="128">
        <v>0.98</v>
      </c>
      <c r="M4" s="129"/>
      <c r="N4" s="103"/>
      <c r="P4" s="130"/>
      <c r="Q4" s="118" t="s">
        <v>46</v>
      </c>
      <c r="R4" s="119">
        <v>2</v>
      </c>
      <c r="S4" s="111"/>
      <c r="T4" s="103"/>
      <c r="V4" s="138"/>
      <c r="W4" s="139" t="s">
        <v>53</v>
      </c>
      <c r="X4" s="140">
        <v>700</v>
      </c>
      <c r="Y4" s="141" t="s">
        <v>33</v>
      </c>
      <c r="Z4" s="142" t="s">
        <v>81</v>
      </c>
    </row>
    <row r="5" spans="1:26" ht="36.6" x14ac:dyDescent="0.3">
      <c r="A5" s="135" t="s">
        <v>31</v>
      </c>
      <c r="B5" s="100">
        <v>712.6952</v>
      </c>
      <c r="C5" s="100" t="s">
        <v>80</v>
      </c>
      <c r="D5" s="143"/>
      <c r="E5" s="143"/>
      <c r="F5" s="143"/>
      <c r="G5" s="144"/>
      <c r="H5" s="96"/>
      <c r="I5" s="96"/>
      <c r="J5" s="96"/>
      <c r="K5" s="118" t="s">
        <v>23</v>
      </c>
      <c r="L5" s="128">
        <v>2</v>
      </c>
      <c r="M5" s="129"/>
      <c r="N5" s="103" t="s">
        <v>135</v>
      </c>
      <c r="P5" s="130"/>
      <c r="Q5" s="118" t="s">
        <v>47</v>
      </c>
      <c r="R5" s="119">
        <v>0.1</v>
      </c>
      <c r="S5" s="111"/>
      <c r="T5" s="103" t="s">
        <v>60</v>
      </c>
      <c r="V5" s="120">
        <v>2</v>
      </c>
      <c r="W5" s="121" t="s">
        <v>52</v>
      </c>
      <c r="X5" s="122">
        <v>1000</v>
      </c>
      <c r="Y5" s="123" t="s">
        <v>57</v>
      </c>
      <c r="Z5" s="145"/>
    </row>
    <row r="6" spans="1:26" ht="36.6" x14ac:dyDescent="0.3">
      <c r="A6" s="135" t="s">
        <v>90</v>
      </c>
      <c r="B6" s="100">
        <v>649.79999999999995</v>
      </c>
      <c r="C6" s="100" t="s">
        <v>44</v>
      </c>
      <c r="D6" s="146" t="s">
        <v>164</v>
      </c>
      <c r="E6" s="143"/>
      <c r="F6" s="143"/>
      <c r="G6" s="144"/>
      <c r="H6" s="96"/>
      <c r="I6" s="96"/>
      <c r="J6" s="96"/>
      <c r="K6" s="118" t="s">
        <v>24</v>
      </c>
      <c r="L6" s="128">
        <v>10</v>
      </c>
      <c r="M6" s="129" t="s">
        <v>32</v>
      </c>
      <c r="N6" s="103" t="s">
        <v>132</v>
      </c>
      <c r="P6" s="130"/>
      <c r="Q6" s="118" t="s">
        <v>48</v>
      </c>
      <c r="R6" s="119">
        <v>750</v>
      </c>
      <c r="S6" s="111" t="s">
        <v>33</v>
      </c>
      <c r="T6" s="103"/>
      <c r="V6" s="131"/>
      <c r="W6" s="132" t="s">
        <v>61</v>
      </c>
      <c r="X6" s="133">
        <v>0</v>
      </c>
      <c r="Y6" s="134"/>
      <c r="Z6" s="112"/>
    </row>
    <row r="7" spans="1:26" ht="25.05" customHeight="1" thickBot="1" x14ac:dyDescent="0.35">
      <c r="A7" s="135" t="s">
        <v>21</v>
      </c>
      <c r="B7" s="100">
        <v>0.36009999999999998</v>
      </c>
      <c r="D7" s="143" t="s">
        <v>163</v>
      </c>
      <c r="E7" s="143"/>
      <c r="F7" s="143"/>
      <c r="G7" s="144"/>
      <c r="H7" s="96"/>
      <c r="I7" s="96"/>
      <c r="J7" s="96"/>
      <c r="K7" s="118" t="s">
        <v>20</v>
      </c>
      <c r="L7" s="128" t="s">
        <v>0</v>
      </c>
      <c r="M7" s="129"/>
      <c r="N7" s="103" t="s">
        <v>133</v>
      </c>
      <c r="P7" s="130"/>
      <c r="Q7" s="118" t="s">
        <v>49</v>
      </c>
      <c r="R7" s="119">
        <v>14000</v>
      </c>
      <c r="S7" s="111" t="s">
        <v>57</v>
      </c>
      <c r="T7" s="103"/>
      <c r="V7" s="138"/>
      <c r="W7" s="139" t="s">
        <v>53</v>
      </c>
      <c r="X7" s="140">
        <v>700</v>
      </c>
      <c r="Y7" s="141" t="s">
        <v>33</v>
      </c>
      <c r="Z7" s="142"/>
    </row>
    <row r="8" spans="1:26" ht="25.05" customHeight="1" x14ac:dyDescent="0.3">
      <c r="A8" s="135"/>
      <c r="D8" s="143"/>
      <c r="E8" s="143"/>
      <c r="F8" s="143"/>
      <c r="G8" s="144"/>
      <c r="H8" s="96"/>
      <c r="I8" s="96"/>
      <c r="J8" s="96"/>
      <c r="K8" s="118" t="s">
        <v>25</v>
      </c>
      <c r="L8" s="128">
        <v>0.1</v>
      </c>
      <c r="M8" s="129" t="s">
        <v>32</v>
      </c>
      <c r="N8" s="103" t="s">
        <v>134</v>
      </c>
      <c r="P8" s="147"/>
      <c r="Q8" s="118" t="s">
        <v>50</v>
      </c>
      <c r="R8" s="119">
        <v>4000</v>
      </c>
      <c r="S8" s="111" t="s">
        <v>57</v>
      </c>
      <c r="T8" s="103" t="s">
        <v>140</v>
      </c>
      <c r="V8" s="120">
        <v>3</v>
      </c>
      <c r="W8" s="121" t="s">
        <v>52</v>
      </c>
      <c r="X8" s="122">
        <v>500</v>
      </c>
      <c r="Y8" s="123" t="s">
        <v>57</v>
      </c>
      <c r="Z8" s="145"/>
    </row>
    <row r="9" spans="1:26" ht="28.8" x14ac:dyDescent="0.3">
      <c r="A9" s="135"/>
      <c r="B9" s="96" t="s">
        <v>101</v>
      </c>
      <c r="C9" s="96" t="s">
        <v>100</v>
      </c>
      <c r="G9" s="137"/>
      <c r="H9" s="96"/>
      <c r="I9" s="96"/>
      <c r="J9" s="96"/>
      <c r="K9" s="118" t="s">
        <v>26</v>
      </c>
      <c r="L9" s="128">
        <v>300</v>
      </c>
      <c r="M9" s="129" t="s">
        <v>33</v>
      </c>
      <c r="N9" s="103" t="s">
        <v>40</v>
      </c>
      <c r="P9" s="117" t="s">
        <v>55</v>
      </c>
      <c r="Q9" s="118" t="s">
        <v>51</v>
      </c>
      <c r="R9" s="119">
        <v>1000</v>
      </c>
      <c r="S9" s="111" t="s">
        <v>45</v>
      </c>
      <c r="T9" s="103" t="s">
        <v>139</v>
      </c>
      <c r="V9" s="131"/>
      <c r="W9" s="132" t="s">
        <v>61</v>
      </c>
      <c r="X9" s="133">
        <v>0.15</v>
      </c>
      <c r="Y9" s="134"/>
      <c r="Z9" s="112"/>
    </row>
    <row r="10" spans="1:26" ht="25.05" customHeight="1" thickBot="1" x14ac:dyDescent="0.35">
      <c r="A10" s="135" t="s">
        <v>91</v>
      </c>
      <c r="B10" s="100">
        <v>990</v>
      </c>
      <c r="C10" s="100">
        <v>26</v>
      </c>
      <c r="G10" s="137"/>
      <c r="H10" s="96"/>
      <c r="I10" s="96"/>
      <c r="J10" s="96"/>
      <c r="K10" s="118" t="s">
        <v>1</v>
      </c>
      <c r="L10" s="128" t="s">
        <v>2</v>
      </c>
      <c r="M10" s="129"/>
      <c r="N10" s="103" t="s">
        <v>136</v>
      </c>
      <c r="P10" s="130"/>
      <c r="Q10" s="118" t="s">
        <v>43</v>
      </c>
      <c r="R10" s="119">
        <v>6500</v>
      </c>
      <c r="S10" s="111" t="s">
        <v>45</v>
      </c>
      <c r="T10" s="103" t="s">
        <v>59</v>
      </c>
      <c r="V10" s="138"/>
      <c r="W10" s="139" t="s">
        <v>53</v>
      </c>
      <c r="X10" s="140">
        <v>700</v>
      </c>
      <c r="Y10" s="141" t="s">
        <v>33</v>
      </c>
      <c r="Z10" s="142"/>
    </row>
    <row r="11" spans="1:26" ht="25.05" customHeight="1" x14ac:dyDescent="0.3">
      <c r="A11" s="135" t="s">
        <v>92</v>
      </c>
      <c r="B11" s="100">
        <v>1038</v>
      </c>
      <c r="C11" s="100">
        <v>28</v>
      </c>
      <c r="G11" s="137"/>
      <c r="H11" s="96"/>
      <c r="I11" s="96"/>
      <c r="J11" s="96"/>
      <c r="K11" s="118" t="s">
        <v>62</v>
      </c>
      <c r="L11" s="128">
        <v>500</v>
      </c>
      <c r="M11" s="129" t="s">
        <v>44</v>
      </c>
      <c r="N11" s="148" t="s">
        <v>104</v>
      </c>
      <c r="P11" s="130"/>
      <c r="Q11" s="118" t="s">
        <v>52</v>
      </c>
      <c r="R11" s="119">
        <v>20</v>
      </c>
      <c r="S11" s="111" t="s">
        <v>57</v>
      </c>
      <c r="T11" s="103"/>
      <c r="V11" s="120">
        <v>4</v>
      </c>
      <c r="W11" s="121" t="s">
        <v>52</v>
      </c>
      <c r="X11" s="122"/>
      <c r="Y11" s="123" t="s">
        <v>57</v>
      </c>
      <c r="Z11" s="145"/>
    </row>
    <row r="12" spans="1:26" ht="37.200000000000003" thickBot="1" x14ac:dyDescent="0.35">
      <c r="A12" s="135" t="s">
        <v>93</v>
      </c>
      <c r="B12" s="100">
        <v>1049</v>
      </c>
      <c r="C12" s="100">
        <v>28</v>
      </c>
      <c r="G12" s="137"/>
      <c r="H12" s="96"/>
      <c r="I12" s="96"/>
      <c r="J12" s="96"/>
      <c r="K12" s="118" t="s">
        <v>63</v>
      </c>
      <c r="L12" s="128">
        <v>274</v>
      </c>
      <c r="M12" s="129" t="s">
        <v>33</v>
      </c>
      <c r="N12" s="103" t="s">
        <v>137</v>
      </c>
      <c r="P12" s="147"/>
      <c r="Q12" s="118" t="s">
        <v>53</v>
      </c>
      <c r="R12" s="119">
        <v>700</v>
      </c>
      <c r="S12" s="111" t="s">
        <v>33</v>
      </c>
      <c r="T12" s="142" t="s">
        <v>81</v>
      </c>
      <c r="V12" s="131"/>
      <c r="W12" s="132" t="s">
        <v>61</v>
      </c>
      <c r="X12" s="133"/>
      <c r="Y12" s="134"/>
      <c r="Z12" s="112"/>
    </row>
    <row r="13" spans="1:26" ht="37.200000000000003" thickBot="1" x14ac:dyDescent="0.35">
      <c r="A13" s="135" t="s">
        <v>103</v>
      </c>
      <c r="B13" s="100">
        <v>1049</v>
      </c>
      <c r="C13" s="100">
        <v>28</v>
      </c>
      <c r="G13" s="137"/>
      <c r="H13" s="96"/>
      <c r="I13" s="96"/>
      <c r="J13" s="96"/>
      <c r="K13" s="118" t="s">
        <v>64</v>
      </c>
      <c r="L13" s="128">
        <v>313</v>
      </c>
      <c r="M13" s="129" t="s">
        <v>33</v>
      </c>
      <c r="N13" s="103" t="s">
        <v>138</v>
      </c>
      <c r="P13" s="118" t="s">
        <v>56</v>
      </c>
      <c r="Q13" s="118" t="s">
        <v>54</v>
      </c>
      <c r="R13" s="119">
        <v>3</v>
      </c>
      <c r="S13" s="111"/>
      <c r="T13" s="103" t="s">
        <v>141</v>
      </c>
      <c r="V13" s="138"/>
      <c r="W13" s="118" t="s">
        <v>53</v>
      </c>
      <c r="X13" s="140"/>
      <c r="Y13" s="141" t="s">
        <v>33</v>
      </c>
      <c r="Z13" s="142"/>
    </row>
    <row r="14" spans="1:26" ht="25.05" customHeight="1" x14ac:dyDescent="0.3">
      <c r="A14" s="135"/>
      <c r="G14" s="137"/>
      <c r="K14" s="118" t="s">
        <v>65</v>
      </c>
      <c r="L14" s="128">
        <v>50</v>
      </c>
      <c r="M14" s="129" t="s">
        <v>44</v>
      </c>
      <c r="N14" s="103" t="s">
        <v>73</v>
      </c>
      <c r="V14" s="120">
        <v>5</v>
      </c>
      <c r="W14" s="149" t="s">
        <v>52</v>
      </c>
      <c r="X14" s="122"/>
      <c r="Y14" s="123" t="s">
        <v>57</v>
      </c>
      <c r="Z14" s="145"/>
    </row>
    <row r="15" spans="1:26" ht="25.05" customHeight="1" x14ac:dyDescent="0.3">
      <c r="A15" s="135"/>
      <c r="G15" s="137"/>
      <c r="K15" s="118" t="s">
        <v>66</v>
      </c>
      <c r="L15" s="128">
        <v>900</v>
      </c>
      <c r="M15" s="129" t="s">
        <v>44</v>
      </c>
      <c r="N15" s="103" t="s">
        <v>74</v>
      </c>
      <c r="V15" s="131"/>
      <c r="W15" s="132" t="s">
        <v>61</v>
      </c>
      <c r="X15" s="133"/>
      <c r="Y15" s="134"/>
      <c r="Z15" s="112"/>
    </row>
    <row r="16" spans="1:26" ht="25.05" customHeight="1" thickBot="1" x14ac:dyDescent="0.35">
      <c r="A16" s="135"/>
      <c r="G16" s="137"/>
      <c r="K16" s="118" t="s">
        <v>67</v>
      </c>
      <c r="L16" s="128">
        <v>20</v>
      </c>
      <c r="M16" s="129"/>
      <c r="N16" s="103" t="s">
        <v>75</v>
      </c>
      <c r="V16" s="138"/>
      <c r="W16" s="139" t="s">
        <v>53</v>
      </c>
      <c r="X16" s="140"/>
      <c r="Y16" s="141" t="s">
        <v>33</v>
      </c>
      <c r="Z16" s="142"/>
    </row>
    <row r="17" spans="1:26" ht="25.05" customHeight="1" x14ac:dyDescent="0.3">
      <c r="A17" s="135"/>
      <c r="G17" s="137"/>
      <c r="K17" s="118" t="s">
        <v>94</v>
      </c>
      <c r="L17" s="128">
        <v>200</v>
      </c>
      <c r="M17" s="129" t="s">
        <v>44</v>
      </c>
      <c r="N17" s="103" t="s">
        <v>84</v>
      </c>
      <c r="V17" s="120">
        <v>6</v>
      </c>
      <c r="W17" s="121" t="s">
        <v>52</v>
      </c>
      <c r="X17" s="122"/>
      <c r="Y17" s="123" t="s">
        <v>57</v>
      </c>
      <c r="Z17" s="145"/>
    </row>
    <row r="18" spans="1:26" ht="25.05" customHeight="1" x14ac:dyDescent="0.3">
      <c r="A18" s="135"/>
      <c r="G18" s="137"/>
      <c r="K18" s="118" t="s">
        <v>95</v>
      </c>
      <c r="L18" s="128">
        <v>900</v>
      </c>
      <c r="M18" s="129" t="s">
        <v>44</v>
      </c>
      <c r="N18" s="103" t="s">
        <v>85</v>
      </c>
      <c r="V18" s="131"/>
      <c r="W18" s="132" t="s">
        <v>61</v>
      </c>
      <c r="X18" s="133"/>
      <c r="Y18" s="134"/>
      <c r="Z18" s="112"/>
    </row>
    <row r="19" spans="1:26" ht="25.05" customHeight="1" thickBot="1" x14ac:dyDescent="0.35">
      <c r="A19" s="135"/>
      <c r="G19" s="137"/>
      <c r="K19" s="118" t="s">
        <v>24</v>
      </c>
      <c r="L19" s="150">
        <v>20</v>
      </c>
      <c r="M19" s="151" t="s">
        <v>32</v>
      </c>
      <c r="N19" s="152" t="s">
        <v>105</v>
      </c>
      <c r="V19" s="138"/>
      <c r="W19" s="139" t="s">
        <v>53</v>
      </c>
      <c r="X19" s="140"/>
      <c r="Y19" s="141" t="s">
        <v>33</v>
      </c>
      <c r="Z19" s="142"/>
    </row>
    <row r="20" spans="1:26" ht="36.6" x14ac:dyDescent="0.3">
      <c r="A20" s="135"/>
      <c r="G20" s="137"/>
      <c r="K20" s="118" t="s">
        <v>107</v>
      </c>
      <c r="L20" s="128">
        <v>15</v>
      </c>
      <c r="M20" s="102"/>
      <c r="N20" s="103" t="s">
        <v>142</v>
      </c>
      <c r="V20" s="120">
        <v>7</v>
      </c>
      <c r="W20" s="121" t="s">
        <v>52</v>
      </c>
      <c r="X20" s="122"/>
      <c r="Y20" s="123" t="s">
        <v>57</v>
      </c>
      <c r="Z20" s="145"/>
    </row>
    <row r="21" spans="1:26" ht="25.05" customHeight="1" x14ac:dyDescent="0.4">
      <c r="A21" s="135"/>
      <c r="G21" s="137"/>
      <c r="K21" s="96"/>
      <c r="L21" s="97" t="s">
        <v>68</v>
      </c>
      <c r="M21" s="98"/>
      <c r="N21" s="99" t="s">
        <v>34</v>
      </c>
      <c r="V21" s="131"/>
      <c r="W21" s="132" t="s">
        <v>61</v>
      </c>
      <c r="X21" s="133"/>
      <c r="Y21" s="134"/>
      <c r="Z21" s="112"/>
    </row>
    <row r="22" spans="1:26" ht="25.05" customHeight="1" thickBot="1" x14ac:dyDescent="0.35">
      <c r="A22" s="135"/>
      <c r="G22" s="137"/>
      <c r="K22" s="118" t="s">
        <v>3</v>
      </c>
      <c r="L22" s="153" t="s">
        <v>15</v>
      </c>
      <c r="M22" s="129"/>
      <c r="N22" s="103"/>
      <c r="V22" s="138"/>
      <c r="W22" s="139" t="s">
        <v>53</v>
      </c>
      <c r="X22" s="140"/>
      <c r="Y22" s="141" t="s">
        <v>33</v>
      </c>
      <c r="Z22" s="142"/>
    </row>
    <row r="23" spans="1:26" ht="25.05" customHeight="1" x14ac:dyDescent="0.3">
      <c r="A23" s="135"/>
      <c r="G23" s="137"/>
      <c r="K23" s="118" t="s">
        <v>69</v>
      </c>
      <c r="L23" s="128">
        <v>300</v>
      </c>
      <c r="M23" s="129" t="s">
        <v>44</v>
      </c>
      <c r="N23" s="103" t="s">
        <v>76</v>
      </c>
      <c r="V23" s="120">
        <v>8</v>
      </c>
      <c r="W23" s="121" t="s">
        <v>52</v>
      </c>
      <c r="X23" s="122"/>
      <c r="Y23" s="123" t="s">
        <v>57</v>
      </c>
      <c r="Z23" s="145"/>
    </row>
    <row r="24" spans="1:26" ht="15" customHeight="1" x14ac:dyDescent="0.3">
      <c r="A24" s="135"/>
      <c r="G24" s="137"/>
      <c r="K24" s="118" t="s">
        <v>70</v>
      </c>
      <c r="L24" s="128">
        <v>150</v>
      </c>
      <c r="M24" s="129" t="s">
        <v>98</v>
      </c>
      <c r="N24" s="103" t="s">
        <v>77</v>
      </c>
      <c r="V24" s="131"/>
      <c r="W24" s="132" t="s">
        <v>61</v>
      </c>
      <c r="X24" s="133"/>
      <c r="Y24" s="134"/>
      <c r="Z24" s="112"/>
    </row>
    <row r="25" spans="1:26" ht="15" customHeight="1" thickBot="1" x14ac:dyDescent="0.35">
      <c r="A25" s="135"/>
      <c r="G25" s="137"/>
      <c r="V25" s="138"/>
      <c r="W25" s="139" t="s">
        <v>53</v>
      </c>
      <c r="X25" s="140"/>
      <c r="Y25" s="141" t="s">
        <v>33</v>
      </c>
      <c r="Z25" s="142"/>
    </row>
    <row r="26" spans="1:26" ht="15" customHeight="1" x14ac:dyDescent="0.3">
      <c r="A26" s="135"/>
      <c r="G26" s="137"/>
      <c r="V26" s="120">
        <v>9</v>
      </c>
      <c r="W26" s="121" t="s">
        <v>52</v>
      </c>
      <c r="X26" s="122"/>
      <c r="Y26" s="123" t="s">
        <v>57</v>
      </c>
      <c r="Z26" s="145"/>
    </row>
    <row r="27" spans="1:26" ht="15" customHeight="1" x14ac:dyDescent="0.3">
      <c r="A27" s="135"/>
      <c r="G27" s="137"/>
      <c r="V27" s="131"/>
      <c r="W27" s="132" t="s">
        <v>61</v>
      </c>
      <c r="X27" s="133"/>
      <c r="Y27" s="134"/>
      <c r="Z27" s="112"/>
    </row>
    <row r="28" spans="1:26" ht="15" customHeight="1" thickBot="1" x14ac:dyDescent="0.35">
      <c r="A28" s="135"/>
      <c r="G28" s="137"/>
      <c r="V28" s="138"/>
      <c r="W28" s="139" t="s">
        <v>53</v>
      </c>
      <c r="X28" s="140"/>
      <c r="Y28" s="141" t="s">
        <v>33</v>
      </c>
      <c r="Z28" s="142"/>
    </row>
    <row r="29" spans="1:26" ht="15" customHeight="1" x14ac:dyDescent="0.3">
      <c r="A29" s="135"/>
      <c r="G29" s="137"/>
      <c r="V29" s="120">
        <v>10</v>
      </c>
      <c r="W29" s="121" t="s">
        <v>52</v>
      </c>
      <c r="X29" s="122"/>
      <c r="Y29" s="123" t="s">
        <v>57</v>
      </c>
      <c r="Z29" s="145"/>
    </row>
    <row r="30" spans="1:26" ht="15" customHeight="1" x14ac:dyDescent="0.3">
      <c r="A30" s="135"/>
      <c r="G30" s="137"/>
      <c r="V30" s="131"/>
      <c r="W30" s="132" t="s">
        <v>61</v>
      </c>
      <c r="X30" s="133"/>
      <c r="Y30" s="134"/>
      <c r="Z30" s="112"/>
    </row>
    <row r="31" spans="1:26" ht="15" customHeight="1" thickBot="1" x14ac:dyDescent="0.35">
      <c r="A31" s="135"/>
      <c r="G31" s="137"/>
      <c r="V31" s="138"/>
      <c r="W31" s="139" t="s">
        <v>53</v>
      </c>
      <c r="X31" s="140"/>
      <c r="Y31" s="141" t="s">
        <v>33</v>
      </c>
      <c r="Z31" s="142"/>
    </row>
    <row r="32" spans="1:26" ht="15" customHeight="1" x14ac:dyDescent="0.3">
      <c r="A32" s="135"/>
      <c r="G32" s="137"/>
    </row>
    <row r="33" spans="1:7" ht="15" customHeight="1" x14ac:dyDescent="0.3">
      <c r="A33" s="135"/>
      <c r="G33" s="137"/>
    </row>
    <row r="34" spans="1:7" ht="15" customHeight="1" x14ac:dyDescent="0.3">
      <c r="A34" s="135"/>
      <c r="G34" s="137"/>
    </row>
    <row r="35" spans="1:7" ht="15" customHeight="1" x14ac:dyDescent="0.3">
      <c r="A35" s="135"/>
      <c r="G35" s="137"/>
    </row>
    <row r="36" spans="1:7" ht="15" customHeight="1" thickBot="1" x14ac:dyDescent="0.35">
      <c r="A36" s="154"/>
      <c r="B36" s="155"/>
      <c r="C36" s="155"/>
      <c r="D36" s="155"/>
      <c r="E36" s="155"/>
      <c r="F36" s="155"/>
      <c r="G36" s="156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5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004E9E4-3EDE-481D-AEDD-A49B68704C36}">
          <x14:formula1>
            <xm:f>'Base de données'!$G$2:$G$4</xm:f>
          </x14:formula1>
          <xm:sqref>L7</xm:sqref>
        </x14:dataValidation>
        <x14:dataValidation type="list" allowBlank="1" showInputMessage="1" showErrorMessage="1" xr:uid="{27BDEC12-9CDC-4B6F-B95F-F060BFB8D2C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B99E9D03-8862-4BF7-A26B-8CBD197C5223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E188A-9FED-41D1-B43D-AE4DBC2AEE72}">
  <sheetPr codeName="Sheet22"/>
  <dimension ref="A1:AA36"/>
  <sheetViews>
    <sheetView workbookViewId="0">
      <selection activeCell="D9" sqref="D9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162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162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570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0.5034077922503154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1000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712.6952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649.79999999999995</v>
      </c>
      <c r="C6" t="s">
        <v>44</v>
      </c>
      <c r="D6" s="87" t="s">
        <v>164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0.36009999999999998</v>
      </c>
      <c r="D7" s="85" t="s">
        <v>163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1000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990</v>
      </c>
      <c r="C10">
        <v>26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1038</v>
      </c>
      <c r="C11">
        <v>28</v>
      </c>
      <c r="G11" s="4"/>
      <c r="H11" s="1"/>
      <c r="I11" s="1"/>
      <c r="J11" s="1"/>
      <c r="K11" s="2" t="s">
        <v>62</v>
      </c>
      <c r="L11" s="53">
        <v>500</v>
      </c>
      <c r="M11" s="54" t="s">
        <v>44</v>
      </c>
      <c r="N11" s="56" t="s">
        <v>104</v>
      </c>
      <c r="P11" s="83"/>
      <c r="Q11" s="2" t="s">
        <v>52</v>
      </c>
      <c r="R11" s="51">
        <v>20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1049</v>
      </c>
      <c r="C12">
        <v>28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1049</v>
      </c>
      <c r="C13">
        <v>28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147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0381200-D792-4B60-9DFA-29D403113A8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75283984-C912-436A-AE6F-6721EB9530B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5EB85244-BD9F-4BFC-B74C-627770877315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2934-7045-48AE-8A57-A0BEFE57E270}">
  <sheetPr codeName="Sheet17"/>
  <dimension ref="A1:AA36"/>
  <sheetViews>
    <sheetView workbookViewId="0">
      <selection activeCell="K11" sqref="K11:M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161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161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570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0.46938815514246623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1000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715.68949999999995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652.54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0.36120000000000002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1000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990</v>
      </c>
      <c r="C10">
        <v>26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1038</v>
      </c>
      <c r="C11">
        <v>28</v>
      </c>
      <c r="G11" s="4"/>
      <c r="H11" s="1"/>
      <c r="I11" s="1"/>
      <c r="J11" s="1"/>
      <c r="K11" s="2" t="s">
        <v>62</v>
      </c>
      <c r="L11" s="53">
        <v>10</v>
      </c>
      <c r="M11" s="54" t="s">
        <v>44</v>
      </c>
      <c r="N11" s="56" t="s">
        <v>104</v>
      </c>
      <c r="P11" s="83"/>
      <c r="Q11" s="2" t="s">
        <v>52</v>
      </c>
      <c r="R11" s="51">
        <v>20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1049</v>
      </c>
      <c r="C12">
        <v>28</v>
      </c>
      <c r="G12" s="4"/>
      <c r="H12" s="1"/>
      <c r="I12" s="1"/>
      <c r="J12" s="1"/>
      <c r="K12" s="2" t="s">
        <v>63</v>
      </c>
      <c r="L12" s="53">
        <v>293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1049</v>
      </c>
      <c r="C13">
        <v>28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045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5E3B67-5024-4349-937B-0EBC29117112}">
          <x14:formula1>
            <xm:f>'Base de données'!$G$2:$G$4</xm:f>
          </x14:formula1>
          <xm:sqref>L7</xm:sqref>
        </x14:dataValidation>
        <x14:dataValidation type="list" allowBlank="1" showInputMessage="1" showErrorMessage="1" xr:uid="{319D1002-27FE-41BC-9A06-57DE643B656D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AE7A590-3CAE-4FFF-B5AD-0883DD0CE89E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B689-B29F-4CA7-912B-8932EB365E63}">
  <sheetPr codeName="Sheet9"/>
  <dimension ref="A1:AA36"/>
  <sheetViews>
    <sheetView workbookViewId="0">
      <selection activeCell="K11" sqref="K11:M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149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149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0.44050904115041095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465.6404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444.73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0.35420000000000001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901</v>
      </c>
      <c r="C13">
        <v>24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42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572706-F9E6-48E0-9CB7-E541EDF1637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DA0DD3F3-5E65-4F81-A365-146D5CF0150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269FB53-4589-4A4B-9E35-D0F0EFE7F4E4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17612-0F1E-4497-9111-413F88A6078A}">
  <sheetPr codeName="Sheet25"/>
  <dimension ref="A1:AA36"/>
  <sheetViews>
    <sheetView topLeftCell="N1" workbookViewId="0">
      <selection activeCell="Q14" sqref="Q14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157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156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570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0.47161440849304198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1000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715.68949999999995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652.54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0.36099999999999999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1000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990</v>
      </c>
      <c r="C10">
        <v>26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1038</v>
      </c>
      <c r="C11">
        <v>28</v>
      </c>
      <c r="G11" s="4"/>
      <c r="H11" s="1"/>
      <c r="I11" s="1"/>
      <c r="J11" s="1"/>
      <c r="K11" s="2" t="s">
        <v>62</v>
      </c>
      <c r="L11" s="53">
        <v>100</v>
      </c>
      <c r="M11" s="54" t="s">
        <v>44</v>
      </c>
      <c r="N11" s="56" t="s">
        <v>104</v>
      </c>
      <c r="P11" s="83"/>
      <c r="Q11" s="2" t="s">
        <v>52</v>
      </c>
      <c r="R11" s="51">
        <v>20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1049</v>
      </c>
      <c r="C12">
        <v>28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1049</v>
      </c>
      <c r="C13">
        <v>28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2B71FF-758E-4908-AE84-205892F320C8}">
          <x14:formula1>
            <xm:f>'Base de données'!$G$2:$G$4</xm:f>
          </x14:formula1>
          <xm:sqref>L7</xm:sqref>
        </x14:dataValidation>
        <x14:dataValidation type="list" allowBlank="1" showInputMessage="1" showErrorMessage="1" xr:uid="{5BC68BD6-72B0-4940-90C3-1CF1094F152A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9184178B-A160-4F02-9FA8-6A67A5C19E8C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DAA55-8CFF-4400-BC49-81BEADF6F384}">
  <sheetPr codeName="Sheet24"/>
  <dimension ref="A1:AA36"/>
  <sheetViews>
    <sheetView workbookViewId="0">
      <selection activeCell="V1" sqref="V1:Z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156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0.47384348313013713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614.22429999999997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569.87</v>
      </c>
      <c r="C6" t="s">
        <v>44</v>
      </c>
      <c r="D6" s="87" t="s">
        <v>158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0.35589999999999999</v>
      </c>
      <c r="D7" s="85" t="s">
        <v>159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7" t="s">
        <v>160</v>
      </c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870</v>
      </c>
      <c r="C11">
        <v>23</v>
      </c>
      <c r="G11" s="4"/>
      <c r="H11" s="1"/>
      <c r="I11" s="1"/>
      <c r="J11" s="1"/>
      <c r="K11" s="2" t="s">
        <v>62</v>
      </c>
      <c r="L11" s="53">
        <v>100</v>
      </c>
      <c r="M11" s="54" t="s">
        <v>44</v>
      </c>
      <c r="N11" s="56" t="s">
        <v>104</v>
      </c>
      <c r="P11" s="83"/>
      <c r="Q11" s="2" t="s">
        <v>52</v>
      </c>
      <c r="R11" s="51">
        <v>20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878</v>
      </c>
      <c r="C12">
        <v>23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878</v>
      </c>
      <c r="C13">
        <v>23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25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3FF7C5-80F7-45F4-B4B0-962492EA2BFD}">
          <x14:formula1>
            <xm:f>'Base de données'!$G$2:$G$4</xm:f>
          </x14:formula1>
          <xm:sqref>L7</xm:sqref>
        </x14:dataValidation>
        <x14:dataValidation type="list" allowBlank="1" showInputMessage="1" showErrorMessage="1" xr:uid="{14C78DE8-9312-438D-939F-44979E988C1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FB58C2AB-901B-40E2-9CA1-44F4E00D205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191D7-EB37-4DA2-BDFC-772D3634D585}">
  <sheetPr codeName="Sheet23"/>
  <dimension ref="A1:AA36"/>
  <sheetViews>
    <sheetView topLeftCell="A3" workbookViewId="0">
      <selection activeCell="A23" sqref="A23:XFD2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155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155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1.1845660368601481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0.16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458.53829999999999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0.15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462.07</v>
      </c>
      <c r="C6" t="s">
        <v>44</v>
      </c>
      <c r="D6" s="87" t="s">
        <v>153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0.3518</v>
      </c>
      <c r="D7" s="87" t="s">
        <v>154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1000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901</v>
      </c>
      <c r="C13">
        <v>24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6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4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ED695C-D24E-4052-869F-4E3D0CDCB47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786EEECA-EFBD-464A-906C-C0617FC9A10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478ADAE-96B8-4086-A3B0-6E17050409E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8BC04-F949-420F-8B67-81320EAE6078}">
  <sheetPr codeName="Sheet21"/>
  <dimension ref="A1:AA36"/>
  <sheetViews>
    <sheetView workbookViewId="0">
      <selection activeCell="G13" sqref="G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152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152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0.41155115763346356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463.0163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442.19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0.3543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901</v>
      </c>
      <c r="C13">
        <v>24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9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61954E-DAD9-4A7D-9F19-07334A44204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AD40BDA2-A118-46AF-BD8B-9544CAB3C10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D238F9D-3B64-47CE-BC5D-6D4937C6D2F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8965-AF40-4C0B-A245-1553A401E8DF}">
  <sheetPr codeName="Sheet19"/>
  <dimension ref="A1:AA36"/>
  <sheetViews>
    <sheetView topLeftCell="A38" workbookViewId="0">
      <selection activeCell="I2" sqref="I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151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4.0904811580975853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463.01490000000001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442.19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0.33169999999999999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13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7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B77DB4-1E4D-41B8-9C4E-31C155A4D02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6407B36E-4B95-4D93-9DFF-1E689A1CB0C1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0BCA467A-24BC-4CCD-8A78-5323982EA699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E4A1D-D2DA-425A-8CB6-271400213B48}">
  <sheetPr codeName="Sheet18"/>
  <dimension ref="A1:AA36"/>
  <sheetViews>
    <sheetView topLeftCell="A36" workbookViewId="0">
      <selection activeCell="C6" sqref="C6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150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150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/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1.617882780234019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/>
      <c r="Y4" s="73" t="s">
        <v>33</v>
      </c>
      <c r="Z4" s="57" t="s">
        <v>81</v>
      </c>
    </row>
    <row r="5" spans="1:26" ht="36.6" x14ac:dyDescent="0.3">
      <c r="A5" s="3" t="s">
        <v>31</v>
      </c>
      <c r="B5">
        <v>381.40100000000001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/>
      <c r="Y5" s="68" t="s">
        <v>57</v>
      </c>
      <c r="Z5" s="69"/>
    </row>
    <row r="6" spans="1:26" ht="36.6" x14ac:dyDescent="0.3">
      <c r="A6" s="3" t="s">
        <v>90</v>
      </c>
      <c r="B6">
        <v>348.44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/>
      <c r="Y6" s="71"/>
      <c r="Z6" s="13"/>
    </row>
    <row r="7" spans="1:26" ht="25.05" customHeight="1" thickBot="1" x14ac:dyDescent="0.35">
      <c r="A7" s="3" t="s">
        <v>21</v>
      </c>
      <c r="B7">
        <v>0.31490000000000001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/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/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0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19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1DAA9D5-05F0-4DD2-BDEB-D9FE5A79CE8A}">
          <x14:formula1>
            <xm:f>'Base de données'!$G$2:$G$4</xm:f>
          </x14:formula1>
          <xm:sqref>L7</xm:sqref>
        </x14:dataValidation>
        <x14:dataValidation type="list" allowBlank="1" showInputMessage="1" showErrorMessage="1" xr:uid="{D64B0981-4138-4C9C-9D16-5E4B68F7611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6E5054A9-2B5D-4F3F-B6B7-0216CDF03045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26CB5-8D05-4281-82DF-135BCAE24442}">
  <sheetPr codeName="Sheet20"/>
  <dimension ref="A1:AA36"/>
  <sheetViews>
    <sheetView topLeftCell="A64" workbookViewId="0">
      <selection activeCell="D5" sqref="D5:G5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148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148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1.3400390505790711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459.73820000000001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439.06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0.35370000000000001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4000</v>
      </c>
      <c r="S8" s="12" t="s">
        <v>57</v>
      </c>
      <c r="T8" s="45" t="s">
        <v>140</v>
      </c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1000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E00295-22A3-4E64-BAEB-CCC0AC0473B9}">
          <x14:formula1>
            <xm:f>'Base de données'!$G$2:$G$4</xm:f>
          </x14:formula1>
          <xm:sqref>L7</xm:sqref>
        </x14:dataValidation>
        <x14:dataValidation type="list" allowBlank="1" showInputMessage="1" showErrorMessage="1" xr:uid="{7F4686A5-659F-4DC0-B919-6CF41721659B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B5A298D1-E2B2-40BC-B84B-597D56765D6E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0D1D9-BA83-4E69-9186-6C83BB6A408D}">
  <sheetPr codeName="Sheet16"/>
  <dimension ref="A1:AA36"/>
  <sheetViews>
    <sheetView topLeftCell="A7" workbookViewId="0">
      <selection activeCell="Z5" sqref="Z5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146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27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/>
      <c r="Y2" s="68" t="s">
        <v>57</v>
      </c>
      <c r="Z2" s="45" t="s">
        <v>140</v>
      </c>
    </row>
    <row r="3" spans="1:26" ht="25.05" customHeight="1" thickBot="1" x14ac:dyDescent="0.35">
      <c r="A3" s="74"/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/>
      <c r="Y4" s="73" t="s">
        <v>33</v>
      </c>
      <c r="Z4" s="57" t="s">
        <v>81</v>
      </c>
    </row>
    <row r="5" spans="1:26" ht="36.6" x14ac:dyDescent="0.3">
      <c r="A5" s="3"/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/>
      <c r="Y5" s="68" t="s">
        <v>57</v>
      </c>
      <c r="Z5" s="69"/>
    </row>
    <row r="6" spans="1:26" ht="36.6" x14ac:dyDescent="0.3">
      <c r="A6" s="3"/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/>
      <c r="Y6" s="71"/>
      <c r="Z6" s="13"/>
    </row>
    <row r="7" spans="1:26" ht="25.05" customHeight="1" thickBot="1" x14ac:dyDescent="0.35">
      <c r="A7" s="3"/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84"/>
      <c r="Q8" s="2" t="s">
        <v>50</v>
      </c>
      <c r="R8" s="51">
        <v>2000</v>
      </c>
      <c r="S8" s="12" t="s">
        <v>57</v>
      </c>
      <c r="T8" s="45" t="s">
        <v>140</v>
      </c>
      <c r="V8" s="76">
        <v>3</v>
      </c>
      <c r="W8" s="52" t="s">
        <v>52</v>
      </c>
      <c r="X8" s="67"/>
      <c r="Y8" s="68" t="s">
        <v>57</v>
      </c>
      <c r="Z8" s="69"/>
    </row>
    <row r="9" spans="1:26" ht="24.6" x14ac:dyDescent="0.3">
      <c r="A9" s="3"/>
      <c r="B9" s="1"/>
      <c r="C9" s="1"/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77"/>
      <c r="W9" s="11" t="s">
        <v>61</v>
      </c>
      <c r="X9" s="70"/>
      <c r="Y9" s="71"/>
      <c r="Z9" s="13"/>
    </row>
    <row r="10" spans="1:26" ht="25.05" customHeight="1" thickBot="1" x14ac:dyDescent="0.35">
      <c r="A10" s="3"/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83"/>
      <c r="Q10" s="2" t="s">
        <v>43</v>
      </c>
      <c r="R10" s="51">
        <v>6500</v>
      </c>
      <c r="S10" s="12" t="s">
        <v>45</v>
      </c>
      <c r="T10" s="45" t="s">
        <v>147</v>
      </c>
      <c r="V10" s="78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/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37.200000000000003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19</v>
      </c>
      <c r="M22" s="54"/>
      <c r="N22" s="45"/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98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2C3E8A-4022-4B67-AFDF-08635A5A4F6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9F1DA369-78AE-4494-BCA7-E6741020EABB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CAB52EE1-EFB4-4AD6-B957-F72CE959D780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B70A4-4200-4664-A3DB-356B3F29375B}">
  <sheetPr codeName="Sheet15"/>
  <dimension ref="A1:AA36"/>
  <sheetViews>
    <sheetView workbookViewId="0">
      <selection activeCell="P1" sqref="P1:T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131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131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/>
      <c r="Y2" s="68" t="s">
        <v>57</v>
      </c>
      <c r="Z2" s="69"/>
    </row>
    <row r="3" spans="1:26" ht="25.05" customHeight="1" thickBot="1" x14ac:dyDescent="0.35">
      <c r="A3" s="3" t="s">
        <v>99</v>
      </c>
      <c r="B3">
        <v>0.74053932428359981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/>
      <c r="Y4" s="73" t="s">
        <v>33</v>
      </c>
      <c r="Z4" s="57" t="s">
        <v>81</v>
      </c>
    </row>
    <row r="5" spans="1:26" ht="24.6" x14ac:dyDescent="0.3">
      <c r="A5" s="3" t="s">
        <v>31</v>
      </c>
      <c r="B5">
        <v>392.76530000000002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/>
      <c r="Y5" s="68" t="s">
        <v>57</v>
      </c>
      <c r="Z5" s="69"/>
    </row>
    <row r="6" spans="1:26" ht="24.6" x14ac:dyDescent="0.3">
      <c r="A6" s="3" t="s">
        <v>90</v>
      </c>
      <c r="B6">
        <v>339.06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/>
      <c r="Y6" s="71"/>
      <c r="Z6" s="13"/>
    </row>
    <row r="7" spans="1:26" ht="25.05" customHeight="1" thickBot="1" x14ac:dyDescent="0.35">
      <c r="A7" s="3" t="s">
        <v>21</v>
      </c>
      <c r="B7">
        <v>0.32290000000000002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2000</v>
      </c>
      <c r="S8" s="12" t="s">
        <v>57</v>
      </c>
      <c r="T8" s="45"/>
      <c r="V8" s="76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>
        <v>1470</v>
      </c>
      <c r="C10">
        <v>20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/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0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19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20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93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E3A7D1-F582-4657-9804-FF664FE9EAA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5736745-05DA-428C-AED5-6A24FED0DC8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31F1E28B-2AC0-4AA4-8952-7C36B1C4EDC1}">
          <x14:formula1>
            <xm:f>'Base de données'!$B$2:$B$24</xm:f>
          </x14:formula1>
          <xm:sqref>L21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E950E-75F5-4198-864F-D2007E86139C}">
  <sheetPr codeName="Sheet14"/>
  <dimension ref="A1:AA36"/>
  <sheetViews>
    <sheetView topLeftCell="A38" workbookViewId="0">
      <selection activeCell="R12" sqref="R1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130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130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/>
      <c r="Y2" s="68" t="s">
        <v>57</v>
      </c>
      <c r="Z2" s="69"/>
    </row>
    <row r="3" spans="1:26" ht="25.05" customHeight="1" thickBot="1" x14ac:dyDescent="0.35">
      <c r="A3" s="3" t="s">
        <v>99</v>
      </c>
      <c r="B3">
        <v>0.30038322210311891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/>
      <c r="Y4" s="73" t="s">
        <v>33</v>
      </c>
      <c r="Z4" s="57" t="s">
        <v>81</v>
      </c>
    </row>
    <row r="5" spans="1:26" ht="24.6" x14ac:dyDescent="0.3">
      <c r="A5" s="3" t="s">
        <v>31</v>
      </c>
      <c r="B5">
        <v>359.23090000000002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/>
      <c r="Y5" s="68" t="s">
        <v>57</v>
      </c>
      <c r="Z5" s="69"/>
    </row>
    <row r="6" spans="1:26" ht="24.6" x14ac:dyDescent="0.3">
      <c r="A6" s="3" t="s">
        <v>90</v>
      </c>
      <c r="B6">
        <v>364.06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/>
      <c r="Y6" s="71"/>
      <c r="Z6" s="13"/>
    </row>
    <row r="7" spans="1:26" ht="25.05" customHeight="1" thickBot="1" x14ac:dyDescent="0.35">
      <c r="A7" s="3" t="s">
        <v>21</v>
      </c>
      <c r="B7">
        <v>0.31380000000000002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1000</v>
      </c>
      <c r="S8" s="12" t="s">
        <v>57</v>
      </c>
      <c r="T8" s="45"/>
      <c r="V8" s="76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 t="s">
        <v>102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/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0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19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79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2527DE-690F-4E93-9F29-321784F1B26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8950378-118E-4A48-A710-8C02A187772D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7175B205-33A3-462A-BC66-804B5EA8E12F}">
          <x14:formula1>
            <xm:f>'Base de données'!$B$2:$B$24</xm:f>
          </x14:formula1>
          <xm:sqref>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76644-0A1A-4711-A82C-7EB371A3E799}">
  <sheetPr codeName="Sheet13"/>
  <dimension ref="A1:AA36"/>
  <sheetViews>
    <sheetView topLeftCell="A41" workbookViewId="0">
      <selection activeCell="G10" sqref="G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127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127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2000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0.79074295759201052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417.85500000000002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>
        <v>1000</v>
      </c>
      <c r="Y5" s="68" t="s">
        <v>57</v>
      </c>
      <c r="Z5" s="69"/>
    </row>
    <row r="6" spans="1:26" ht="24.6" x14ac:dyDescent="0.3">
      <c r="A6" s="3" t="s">
        <v>90</v>
      </c>
      <c r="B6">
        <v>445.31</v>
      </c>
      <c r="C6" t="s">
        <v>44</v>
      </c>
      <c r="D6" s="87" t="s">
        <v>128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0.32869999999999999</v>
      </c>
      <c r="D7" s="85" t="s">
        <v>129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3000</v>
      </c>
      <c r="S8" s="12" t="s">
        <v>57</v>
      </c>
      <c r="T8" s="45"/>
      <c r="V8" s="76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>
        <v>932</v>
      </c>
      <c r="C10">
        <v>19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 t="s">
        <v>92</v>
      </c>
      <c r="B11" t="s">
        <v>102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2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19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7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71474E1-3E35-4C4F-927B-9B830CB9B2F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DB10970A-5E3E-4BAC-B856-EEA03E92029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C590073-3420-4661-AD64-55006006E0AB}">
          <x14:formula1>
            <xm:f>'Base de données'!$B$2:$B$24</xm:f>
          </x14:formula1>
          <xm:sqref>L21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94C1-8F73-438A-A5B3-52780358EA07}">
  <sheetPr codeName="Sheet11"/>
  <dimension ref="A1:AA36"/>
  <sheetViews>
    <sheetView topLeftCell="A41" workbookViewId="0">
      <selection activeCell="I2" sqref="I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125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125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4000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1.6033538341522218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433.03449999999998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>
        <v>3000</v>
      </c>
      <c r="Y5" s="68" t="s">
        <v>57</v>
      </c>
      <c r="Z5" s="69"/>
    </row>
    <row r="6" spans="1:26" ht="24.6" x14ac:dyDescent="0.3">
      <c r="A6" s="3" t="s">
        <v>90</v>
      </c>
      <c r="B6">
        <v>445.31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0.32369999999999999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5000</v>
      </c>
      <c r="S8" s="12" t="s">
        <v>57</v>
      </c>
      <c r="T8" s="45"/>
      <c r="V8" s="76">
        <v>3</v>
      </c>
      <c r="W8" s="52" t="s">
        <v>52</v>
      </c>
      <c r="X8" s="67">
        <v>2000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758</v>
      </c>
      <c r="C10">
        <v>25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811</v>
      </c>
      <c r="C11">
        <v>27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>
        <v>1000</v>
      </c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>
        <v>0</v>
      </c>
      <c r="Y12" s="71"/>
      <c r="Z12" s="13"/>
    </row>
    <row r="13" spans="1:26" ht="25.05" customHeight="1" thickBot="1" x14ac:dyDescent="0.35">
      <c r="A13" s="3" t="s">
        <v>103</v>
      </c>
      <c r="B13">
        <v>778</v>
      </c>
      <c r="C13">
        <v>26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4</v>
      </c>
      <c r="S13" s="12"/>
      <c r="T13" s="45"/>
      <c r="V13" s="78"/>
      <c r="W13" s="55" t="s">
        <v>53</v>
      </c>
      <c r="X13" s="72">
        <v>700</v>
      </c>
      <c r="Y13" s="73" t="s">
        <v>33</v>
      </c>
      <c r="Z13" s="57"/>
    </row>
    <row r="14" spans="1:26" ht="25.05" customHeight="1" x14ac:dyDescent="0.3">
      <c r="A14" s="3" t="s">
        <v>126</v>
      </c>
      <c r="B14">
        <v>785</v>
      </c>
      <c r="C14">
        <v>26</v>
      </c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13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CC8D08-BBAB-4E0E-A97E-C8371CA7D0E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EE022062-C5E4-4DAA-A34F-F9437F52CC37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C4D8865B-F5E7-4677-821B-6D4082600917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C5362-A4FC-4601-8C34-A30366F816A5}">
  <sheetPr codeName="Sheet12"/>
  <dimension ref="A1:AA36"/>
  <sheetViews>
    <sheetView topLeftCell="A34" workbookViewId="0">
      <selection activeCell="I9" sqref="I9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122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122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2.175822595755259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450.52229999999997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454.69</v>
      </c>
      <c r="C6" t="s">
        <v>44</v>
      </c>
      <c r="D6" s="87" t="s">
        <v>123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0.34989999999999999</v>
      </c>
      <c r="D7" s="85" t="s">
        <v>124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9F34AA-D562-4BE1-B57B-38EFBE6C07E8}">
          <x14:formula1>
            <xm:f>'Base de données'!$G$2:$G$4</xm:f>
          </x14:formula1>
          <xm:sqref>L7</xm:sqref>
        </x14:dataValidation>
        <x14:dataValidation type="list" allowBlank="1" showInputMessage="1" showErrorMessage="1" xr:uid="{CF719474-82F5-44D2-A4B8-07C5AB94C0B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981604C4-778E-4E3D-A13D-32833FE36A18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53BF0-0767-4E07-BB11-D0EDB5600F6E}">
  <sheetPr codeName="Sheet10"/>
  <dimension ref="A1:AA36"/>
  <sheetViews>
    <sheetView workbookViewId="0">
      <selection activeCell="G226" sqref="G226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119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119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1.3489385445912678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450.30590000000001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454.47</v>
      </c>
      <c r="C6" t="s">
        <v>44</v>
      </c>
      <c r="D6" s="87" t="s">
        <v>120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0.35089999999999999</v>
      </c>
      <c r="D7" s="87" t="s">
        <v>121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3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DA66C1-1E92-4078-AF4D-574FE9979DB4}">
          <x14:formula1>
            <xm:f>'Base de données'!$G$2:$G$4</xm:f>
          </x14:formula1>
          <xm:sqref>L7</xm:sqref>
        </x14:dataValidation>
        <x14:dataValidation type="list" allowBlank="1" showInputMessage="1" showErrorMessage="1" xr:uid="{C148B910-FE28-4B8C-B1F5-7418DF3B5C3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5B9D36EA-6B48-47AC-8C5A-7E0585ABA795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3F88-2346-44A7-8B1E-8B01B7BD365F}">
  <sheetPr codeName="Sheet5"/>
  <dimension ref="A1:AA36"/>
  <sheetViews>
    <sheetView topLeftCell="N1" workbookViewId="0">
      <selection activeCell="H22" sqref="H2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116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1.3239625374476114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445.43239999999997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449.61</v>
      </c>
      <c r="C6" t="s">
        <v>44</v>
      </c>
      <c r="D6" s="87" t="s">
        <v>117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0.35070000000000001</v>
      </c>
      <c r="D7" s="87" t="s">
        <v>118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AA9109-E510-47A7-AA0F-EA6F400F2C45}">
          <x14:formula1>
            <xm:f>'Base de données'!$G$2:$G$4</xm:f>
          </x14:formula1>
          <xm:sqref>L7</xm:sqref>
        </x14:dataValidation>
        <x14:dataValidation type="list" allowBlank="1" showInputMessage="1" showErrorMessage="1" xr:uid="{EAE579D1-B78A-4A0B-9995-02F99A519FB8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0A18E02F-E672-419B-B723-425FB7A50EF1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84C8C-B3A6-40F1-9FA1-895630E3B403}">
  <sheetPr codeName="Sheet4"/>
  <dimension ref="A1:AA36"/>
  <sheetViews>
    <sheetView topLeftCell="A215" workbookViewId="0">
      <selection activeCell="I10" sqref="I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106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106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1.3234231154123941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424.72629999999998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304.69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0.35010000000000002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B6B650-8608-4D34-92C6-FF0392E8D103}">
          <x14:formula1>
            <xm:f>'Base de données'!$G$2:$G$4</xm:f>
          </x14:formula1>
          <xm:sqref>L7</xm:sqref>
        </x14:dataValidation>
        <x14:dataValidation type="list" allowBlank="1" showInputMessage="1" showErrorMessage="1" xr:uid="{37C9D3AB-8476-4CDD-BD59-DE7B4205BCD9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4D8EEB3E-30D8-47DB-86B7-7DA46377E91A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1DC9-6A7A-4D09-902D-6456C5AB62AA}">
  <sheetPr codeName="Sheet6"/>
  <dimension ref="A1:AA36"/>
  <sheetViews>
    <sheetView workbookViewId="0">
      <selection activeCell="G11" sqref="G11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109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109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1.3157549460728963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429.16070000000002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307.81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0.35049999999999998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3285FA-D2F2-4D89-B1F1-DDE335086F9D}">
          <x14:formula1>
            <xm:f>'Base de données'!$G$2:$G$4</xm:f>
          </x14:formula1>
          <xm:sqref>L7</xm:sqref>
        </x14:dataValidation>
        <x14:dataValidation type="list" allowBlank="1" showInputMessage="1" showErrorMessage="1" xr:uid="{362872CE-DFD0-4761-B1FA-9CA035C6659A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4B00ED9B-2419-4757-B5E0-D05A7665AF25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D05E3-DA42-4DC0-A714-6DEF9AD9678B}">
  <sheetPr codeName="Sheet8"/>
  <dimension ref="A1:AA36"/>
  <sheetViews>
    <sheetView topLeftCell="A38" workbookViewId="0">
      <selection activeCell="X10" sqref="X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110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110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1.3153123815854391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433.58550000000002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310.94</v>
      </c>
      <c r="C6" t="s">
        <v>44</v>
      </c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</v>
      </c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200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BC4C6C-565C-49D0-AE44-B7D0F5F61B15}">
          <x14:formula1>
            <xm:f>'Base de données'!$G$2:$G$4</xm:f>
          </x14:formula1>
          <xm:sqref>L7</xm:sqref>
        </x14:dataValidation>
        <x14:dataValidation type="list" allowBlank="1" showInputMessage="1" showErrorMessage="1" xr:uid="{B7CD84E8-CC9D-4972-AA3B-4FE5E86D57E5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E66A73FE-6042-4791-B7DC-805D76728467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799B-37D6-444F-B76A-9EF261663332}">
  <sheetPr codeName="Sheet7"/>
  <dimension ref="A1:AA36"/>
  <sheetViews>
    <sheetView workbookViewId="0">
      <selection activeCell="H9" sqref="H9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111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1.3039535244305929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450.52229999999997</v>
      </c>
      <c r="C5" t="s">
        <v>80</v>
      </c>
      <c r="D5" s="85"/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0.125</v>
      </c>
      <c r="S5" s="12"/>
      <c r="T5" s="45" t="s">
        <v>60</v>
      </c>
      <c r="V5" s="76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454.69</v>
      </c>
      <c r="C6" t="s">
        <v>44</v>
      </c>
      <c r="D6" s="87" t="s">
        <v>113</v>
      </c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0.35070000000000001</v>
      </c>
      <c r="D7" s="85" t="s">
        <v>114</v>
      </c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1200</v>
      </c>
      <c r="S9" s="12" t="s">
        <v>45</v>
      </c>
      <c r="T9" s="45"/>
      <c r="V9" s="77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200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76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77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78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76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77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78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76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77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78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29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B1852B-55B9-49D2-829F-6F2BCC54578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13FB0D31-16D8-4C3A-8682-A7DDC982DEDB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C7666F9C-8D4E-45EA-B6AD-5A5AFE2DD25D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10CA9-D639-4C13-9392-23E9CEB4C3D0}">
  <sheetPr codeName="Sheet3"/>
  <dimension ref="A1:Z36"/>
  <sheetViews>
    <sheetView topLeftCell="A39" workbookViewId="0">
      <selection activeCell="F10" sqref="F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style="21" bestFit="1" customWidth="1"/>
    <col min="25" max="25" width="8.88671875" style="21"/>
    <col min="26" max="26" width="35" style="21" bestFit="1" customWidth="1"/>
    <col min="27" max="16384" width="8.88671875" style="21"/>
  </cols>
  <sheetData>
    <row r="1" spans="1:26" ht="33" customHeight="1" thickBot="1" x14ac:dyDescent="0.5">
      <c r="A1" s="80" t="s">
        <v>29</v>
      </c>
      <c r="B1" s="81"/>
      <c r="C1" s="81"/>
      <c r="D1" s="17"/>
      <c r="E1" s="9" t="s">
        <v>30</v>
      </c>
      <c r="F1" s="10"/>
      <c r="G1" s="8"/>
      <c r="H1" s="79" t="s">
        <v>28</v>
      </c>
      <c r="I1" s="79"/>
      <c r="J1" s="79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22" t="s">
        <v>56</v>
      </c>
      <c r="Y1" s="23"/>
      <c r="Z1" s="24" t="s">
        <v>34</v>
      </c>
    </row>
    <row r="2" spans="1:26" ht="25.05" customHeight="1" x14ac:dyDescent="0.3">
      <c r="A2" s="14" t="s">
        <v>97</v>
      </c>
      <c r="B2" t="s">
        <v>106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106</v>
      </c>
      <c r="J2" s="1"/>
      <c r="K2" s="48" t="s">
        <v>5</v>
      </c>
      <c r="L2" s="49">
        <v>0.2</v>
      </c>
      <c r="M2" s="50"/>
      <c r="N2" s="45" t="s">
        <v>35</v>
      </c>
      <c r="P2" s="82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76">
        <v>1</v>
      </c>
      <c r="W2" s="52" t="s">
        <v>52</v>
      </c>
      <c r="X2" s="27">
        <v>3000</v>
      </c>
      <c r="Y2" s="28" t="s">
        <v>57</v>
      </c>
      <c r="Z2" s="29"/>
    </row>
    <row r="3" spans="1:26" ht="25.05" customHeight="1" thickBot="1" x14ac:dyDescent="0.35">
      <c r="A3" s="3" t="s">
        <v>99</v>
      </c>
      <c r="B3">
        <v>1.3873778184254963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83"/>
      <c r="Q3" s="2" t="s">
        <v>43</v>
      </c>
      <c r="R3" s="51">
        <v>850</v>
      </c>
      <c r="S3" s="12" t="s">
        <v>45</v>
      </c>
      <c r="T3" s="45" t="s">
        <v>59</v>
      </c>
      <c r="V3" s="77"/>
      <c r="W3" s="11" t="s">
        <v>61</v>
      </c>
      <c r="X3" s="31">
        <v>0</v>
      </c>
      <c r="Y3" s="32"/>
      <c r="Z3" s="26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83"/>
      <c r="Q4" s="2" t="s">
        <v>46</v>
      </c>
      <c r="R4" s="51">
        <v>2</v>
      </c>
      <c r="S4" s="12"/>
      <c r="T4" s="45"/>
      <c r="V4" s="78"/>
      <c r="W4" s="55" t="s">
        <v>53</v>
      </c>
      <c r="X4" s="33">
        <v>700</v>
      </c>
      <c r="Y4" s="34" t="s">
        <v>33</v>
      </c>
      <c r="Z4" s="35" t="s">
        <v>81</v>
      </c>
    </row>
    <row r="5" spans="1:26" ht="24.6" x14ac:dyDescent="0.3">
      <c r="A5" s="3"/>
      <c r="D5" s="85" t="s">
        <v>108</v>
      </c>
      <c r="E5" s="85"/>
      <c r="F5" s="85"/>
      <c r="G5" s="86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83"/>
      <c r="Q5" s="2" t="s">
        <v>47</v>
      </c>
      <c r="R5" s="51">
        <v>0</v>
      </c>
      <c r="S5" s="12"/>
      <c r="T5" s="45" t="s">
        <v>60</v>
      </c>
      <c r="V5" s="76">
        <v>2</v>
      </c>
      <c r="W5" s="52" t="s">
        <v>52</v>
      </c>
      <c r="X5" s="27">
        <v>2000</v>
      </c>
      <c r="Y5" s="28" t="s">
        <v>57</v>
      </c>
      <c r="Z5" s="29"/>
    </row>
    <row r="6" spans="1:26" ht="24.6" x14ac:dyDescent="0.3">
      <c r="A6" s="3"/>
      <c r="D6" s="85"/>
      <c r="E6" s="85"/>
      <c r="F6" s="85"/>
      <c r="G6" s="86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83"/>
      <c r="Q6" s="2" t="s">
        <v>48</v>
      </c>
      <c r="R6" s="51">
        <v>750</v>
      </c>
      <c r="S6" s="12" t="s">
        <v>33</v>
      </c>
      <c r="T6" s="45"/>
      <c r="V6" s="77"/>
      <c r="W6" s="11" t="s">
        <v>61</v>
      </c>
      <c r="X6" s="31">
        <v>0</v>
      </c>
      <c r="Y6" s="32"/>
      <c r="Z6" s="26"/>
    </row>
    <row r="7" spans="1:26" ht="25.05" customHeight="1" thickBot="1" x14ac:dyDescent="0.35">
      <c r="A7" s="3"/>
      <c r="D7" s="85"/>
      <c r="E7" s="85"/>
      <c r="F7" s="85"/>
      <c r="G7" s="86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83"/>
      <c r="Q7" s="2" t="s">
        <v>49</v>
      </c>
      <c r="R7" s="51">
        <v>14000</v>
      </c>
      <c r="S7" s="12" t="s">
        <v>57</v>
      </c>
      <c r="T7" s="45"/>
      <c r="V7" s="78"/>
      <c r="W7" s="55" t="s">
        <v>53</v>
      </c>
      <c r="X7" s="33">
        <v>700</v>
      </c>
      <c r="Y7" s="34" t="s">
        <v>33</v>
      </c>
      <c r="Z7" s="35"/>
    </row>
    <row r="8" spans="1:26" ht="25.05" customHeight="1" x14ac:dyDescent="0.3">
      <c r="A8" s="3"/>
      <c r="D8" s="85"/>
      <c r="E8" s="85"/>
      <c r="F8" s="85"/>
      <c r="G8" s="86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84"/>
      <c r="Q8" s="2" t="s">
        <v>50</v>
      </c>
      <c r="R8" s="51">
        <v>4000</v>
      </c>
      <c r="S8" s="12" t="s">
        <v>57</v>
      </c>
      <c r="T8" s="45"/>
      <c r="V8" s="76">
        <v>3</v>
      </c>
      <c r="W8" s="52" t="s">
        <v>52</v>
      </c>
      <c r="X8" s="27">
        <v>1000</v>
      </c>
      <c r="Y8" s="28" t="s">
        <v>57</v>
      </c>
      <c r="Z8" s="2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82" t="s">
        <v>55</v>
      </c>
      <c r="Q9" s="2" t="s">
        <v>51</v>
      </c>
      <c r="R9" s="51">
        <v>1400</v>
      </c>
      <c r="S9" s="12" t="s">
        <v>45</v>
      </c>
      <c r="T9" s="45"/>
      <c r="V9" s="77"/>
      <c r="W9" s="11" t="s">
        <v>61</v>
      </c>
      <c r="X9" s="31">
        <v>0</v>
      </c>
      <c r="Y9" s="32"/>
      <c r="Z9" s="26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83"/>
      <c r="Q10" s="2" t="s">
        <v>43</v>
      </c>
      <c r="R10" s="51">
        <v>6500</v>
      </c>
      <c r="S10" s="12" t="s">
        <v>45</v>
      </c>
      <c r="T10" s="45" t="s">
        <v>59</v>
      </c>
      <c r="V10" s="78"/>
      <c r="W10" s="55" t="s">
        <v>53</v>
      </c>
      <c r="X10" s="33">
        <v>0</v>
      </c>
      <c r="Y10" s="34" t="s">
        <v>33</v>
      </c>
      <c r="Z10" s="35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83"/>
      <c r="Q11" s="2" t="s">
        <v>52</v>
      </c>
      <c r="R11" s="51">
        <v>10</v>
      </c>
      <c r="S11" s="12" t="s">
        <v>57</v>
      </c>
      <c r="T11" s="45"/>
      <c r="V11" s="76">
        <v>4</v>
      </c>
      <c r="W11" s="52" t="s">
        <v>52</v>
      </c>
      <c r="X11" s="27"/>
      <c r="Y11" s="28" t="s">
        <v>57</v>
      </c>
      <c r="Z11" s="29"/>
    </row>
    <row r="12" spans="1:26" ht="25.05" customHeight="1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84"/>
      <c r="Q12" s="2" t="s">
        <v>53</v>
      </c>
      <c r="R12" s="51">
        <v>700</v>
      </c>
      <c r="S12" s="12" t="s">
        <v>33</v>
      </c>
      <c r="T12" s="57" t="s">
        <v>81</v>
      </c>
      <c r="V12" s="77"/>
      <c r="W12" s="11" t="s">
        <v>61</v>
      </c>
      <c r="X12" s="31"/>
      <c r="Y12" s="32"/>
      <c r="Z12" s="26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78"/>
      <c r="W13" s="55" t="s">
        <v>53</v>
      </c>
      <c r="X13" s="33"/>
      <c r="Y13" s="34" t="s">
        <v>33</v>
      </c>
      <c r="Z13" s="35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76">
        <v>5</v>
      </c>
      <c r="W14" s="52" t="s">
        <v>52</v>
      </c>
      <c r="X14" s="27"/>
      <c r="Y14" s="28" t="s">
        <v>57</v>
      </c>
      <c r="Z14" s="2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77"/>
      <c r="W15" s="11" t="s">
        <v>61</v>
      </c>
      <c r="X15" s="31"/>
      <c r="Y15" s="32"/>
      <c r="Z15" s="26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78"/>
      <c r="W16" s="55" t="s">
        <v>53</v>
      </c>
      <c r="X16" s="33"/>
      <c r="Y16" s="34" t="s">
        <v>33</v>
      </c>
      <c r="Z16" s="35"/>
    </row>
    <row r="17" spans="1:26" ht="25.05" customHeight="1" x14ac:dyDescent="0.3">
      <c r="A17" s="3"/>
      <c r="G17" s="4"/>
      <c r="K17" s="2" t="s">
        <v>94</v>
      </c>
      <c r="L17" s="53">
        <v>50</v>
      </c>
      <c r="M17" s="54" t="s">
        <v>44</v>
      </c>
      <c r="N17" s="45" t="s">
        <v>84</v>
      </c>
      <c r="V17" s="76">
        <v>6</v>
      </c>
      <c r="W17" s="52" t="s">
        <v>52</v>
      </c>
      <c r="X17" s="27"/>
      <c r="Y17" s="28" t="s">
        <v>57</v>
      </c>
      <c r="Z17" s="2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77"/>
      <c r="W18" s="11" t="s">
        <v>61</v>
      </c>
      <c r="X18" s="31"/>
      <c r="Y18" s="32"/>
      <c r="Z18" s="26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78"/>
      <c r="W19" s="55" t="s">
        <v>53</v>
      </c>
      <c r="X19" s="33"/>
      <c r="Y19" s="34" t="s">
        <v>33</v>
      </c>
      <c r="Z19" s="35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76">
        <v>7</v>
      </c>
      <c r="W20" s="52" t="s">
        <v>52</v>
      </c>
      <c r="X20" s="27"/>
      <c r="Y20" s="28" t="s">
        <v>57</v>
      </c>
      <c r="Z20" s="2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77"/>
      <c r="W21" s="11" t="s">
        <v>61</v>
      </c>
      <c r="X21" s="31"/>
      <c r="Y21" s="32"/>
      <c r="Z21" s="26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78"/>
      <c r="W22" s="55" t="s">
        <v>53</v>
      </c>
      <c r="X22" s="33"/>
      <c r="Y22" s="34" t="s">
        <v>33</v>
      </c>
      <c r="Z22" s="35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76">
        <v>8</v>
      </c>
      <c r="W23" s="52" t="s">
        <v>52</v>
      </c>
      <c r="X23" s="27"/>
      <c r="Y23" s="28" t="s">
        <v>57</v>
      </c>
      <c r="Z23" s="29"/>
    </row>
    <row r="24" spans="1:26" ht="15" customHeight="1" x14ac:dyDescent="0.3">
      <c r="A24" s="3"/>
      <c r="G24" s="4"/>
      <c r="K24" s="63" t="s">
        <v>107</v>
      </c>
      <c r="L24" s="58">
        <v>16</v>
      </c>
      <c r="V24" s="77"/>
      <c r="W24" s="11" t="s">
        <v>61</v>
      </c>
      <c r="X24" s="31"/>
      <c r="Y24" s="32"/>
      <c r="Z24" s="26"/>
    </row>
    <row r="25" spans="1:26" ht="15" customHeight="1" thickBot="1" x14ac:dyDescent="0.35">
      <c r="A25" s="3"/>
      <c r="G25" s="4"/>
      <c r="V25" s="78"/>
      <c r="W25" s="55" t="s">
        <v>53</v>
      </c>
      <c r="X25" s="33"/>
      <c r="Y25" s="34" t="s">
        <v>33</v>
      </c>
      <c r="Z25" s="35"/>
    </row>
    <row r="26" spans="1:26" ht="15" customHeight="1" x14ac:dyDescent="0.3">
      <c r="A26" s="3"/>
      <c r="G26" s="4"/>
      <c r="V26" s="76">
        <v>9</v>
      </c>
      <c r="W26" s="52" t="s">
        <v>52</v>
      </c>
      <c r="X26" s="27"/>
      <c r="Y26" s="28" t="s">
        <v>57</v>
      </c>
      <c r="Z26" s="29"/>
    </row>
    <row r="27" spans="1:26" ht="15" customHeight="1" x14ac:dyDescent="0.3">
      <c r="A27" s="3"/>
      <c r="G27" s="4"/>
      <c r="V27" s="77"/>
      <c r="W27" s="11" t="s">
        <v>61</v>
      </c>
      <c r="X27" s="31"/>
      <c r="Y27" s="32"/>
      <c r="Z27" s="26"/>
    </row>
    <row r="28" spans="1:26" ht="15" customHeight="1" thickBot="1" x14ac:dyDescent="0.35">
      <c r="A28" s="3"/>
      <c r="G28" s="4"/>
      <c r="V28" s="78"/>
      <c r="W28" s="55" t="s">
        <v>53</v>
      </c>
      <c r="X28" s="33"/>
      <c r="Y28" s="34" t="s">
        <v>33</v>
      </c>
      <c r="Z28" s="35"/>
    </row>
    <row r="29" spans="1:26" ht="15" customHeight="1" x14ac:dyDescent="0.3">
      <c r="A29" s="3"/>
      <c r="G29" s="4"/>
      <c r="V29" s="76">
        <v>10</v>
      </c>
      <c r="W29" s="52" t="s">
        <v>52</v>
      </c>
      <c r="X29" s="27"/>
      <c r="Y29" s="28" t="s">
        <v>57</v>
      </c>
      <c r="Z29" s="29"/>
    </row>
    <row r="30" spans="1:26" ht="15" customHeight="1" x14ac:dyDescent="0.3">
      <c r="A30" s="3"/>
      <c r="G30" s="4"/>
      <c r="V30" s="77"/>
      <c r="W30" s="11" t="s">
        <v>61</v>
      </c>
      <c r="X30" s="31"/>
      <c r="Y30" s="32"/>
      <c r="Z30" s="26"/>
    </row>
    <row r="31" spans="1:26" ht="15" customHeight="1" thickBot="1" x14ac:dyDescent="0.35">
      <c r="A31" s="3"/>
      <c r="G31" s="4"/>
      <c r="V31" s="78"/>
      <c r="W31" s="55" t="s">
        <v>53</v>
      </c>
      <c r="X31" s="33"/>
      <c r="Y31" s="34" t="s">
        <v>33</v>
      </c>
      <c r="Z31" s="35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39214-C950-46FB-A459-8CCCD5DBC1C6}">
          <x14:formula1>
            <xm:f>'Base de données'!$G$2:$G$4</xm:f>
          </x14:formula1>
          <xm:sqref>L7</xm:sqref>
        </x14:dataValidation>
        <x14:dataValidation type="list" allowBlank="1" showInputMessage="1" showErrorMessage="1" xr:uid="{9B90FB6C-0727-4FA4-9A50-09CC17820195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21E950B2-CC7A-443B-B1D9-9987F465DAE9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AF60D-96DA-45E6-92ED-21284B382161}">
  <sheetPr codeName="Sheet2"/>
  <dimension ref="A1:W7"/>
  <sheetViews>
    <sheetView workbookViewId="0">
      <selection activeCell="B1" sqref="B1:E7"/>
    </sheetView>
  </sheetViews>
  <sheetFormatPr defaultRowHeight="15" customHeight="1" x14ac:dyDescent="0.3"/>
  <cols>
    <col min="1" max="1" width="8.88671875" style="1"/>
    <col min="2" max="2" width="20.6640625" style="1" customWidth="1"/>
    <col min="3" max="3" width="10.21875" style="1" bestFit="1" customWidth="1"/>
    <col min="4" max="4" width="10.109375" style="1" bestFit="1" customWidth="1"/>
    <col min="5" max="5" width="8.77734375" style="1" bestFit="1" customWidth="1"/>
    <col min="6" max="6" width="8.88671875" style="1"/>
    <col min="7" max="7" width="12.77734375" style="1" bestFit="1" customWidth="1"/>
    <col min="8" max="8" width="27.6640625" style="1" bestFit="1" customWidth="1"/>
    <col min="9" max="9" width="8.88671875" style="1"/>
    <col min="10" max="10" width="9.5546875" style="1" bestFit="1" customWidth="1"/>
    <col min="11" max="11" width="8.21875" style="1" bestFit="1" customWidth="1"/>
    <col min="12" max="12" width="26.109375" style="1" bestFit="1" customWidth="1"/>
    <col min="13" max="13" width="7.6640625" style="1" bestFit="1" customWidth="1"/>
    <col min="14" max="16" width="8.88671875" style="1"/>
    <col min="17" max="17" width="12.77734375" style="1" bestFit="1" customWidth="1"/>
    <col min="18" max="18" width="8.88671875" style="1"/>
    <col min="19" max="19" width="13.44140625" style="1" customWidth="1"/>
    <col min="20" max="20" width="8.88671875" style="1"/>
    <col min="21" max="21" width="9.5546875" style="1" bestFit="1" customWidth="1"/>
    <col min="22" max="23" width="8.88671875" style="1"/>
    <col min="24" max="16384" width="8.88671875" style="36"/>
  </cols>
  <sheetData>
    <row r="1" spans="2:21" ht="15" customHeight="1" x14ac:dyDescent="0.35">
      <c r="B1" s="37" t="s">
        <v>7</v>
      </c>
      <c r="C1" s="2" t="s">
        <v>21</v>
      </c>
      <c r="D1" s="2" t="s">
        <v>87</v>
      </c>
      <c r="E1" s="2" t="s">
        <v>8</v>
      </c>
      <c r="G1" s="37" t="s">
        <v>20</v>
      </c>
      <c r="H1" s="2" t="s">
        <v>82</v>
      </c>
      <c r="J1" s="37" t="s">
        <v>9</v>
      </c>
      <c r="K1" s="2" t="s">
        <v>10</v>
      </c>
      <c r="L1" s="2" t="s">
        <v>83</v>
      </c>
      <c r="M1" s="2" t="s">
        <v>89</v>
      </c>
      <c r="Q1" s="1" t="s">
        <v>88</v>
      </c>
      <c r="S1" s="1" t="s">
        <v>11</v>
      </c>
      <c r="U1" s="1" t="s">
        <v>12</v>
      </c>
    </row>
    <row r="2" spans="2:21" ht="15" customHeight="1" x14ac:dyDescent="0.3">
      <c r="B2" s="2" t="s">
        <v>13</v>
      </c>
      <c r="C2" s="11">
        <v>0.88</v>
      </c>
      <c r="D2" s="11">
        <v>28000</v>
      </c>
      <c r="E2" s="11">
        <v>2.4</v>
      </c>
      <c r="G2" s="2" t="s">
        <v>14</v>
      </c>
      <c r="H2" s="2">
        <v>0.04</v>
      </c>
      <c r="J2" s="2" t="s">
        <v>2</v>
      </c>
      <c r="K2" s="38">
        <v>4.6E-5</v>
      </c>
      <c r="L2" s="2">
        <v>45</v>
      </c>
      <c r="M2" s="2">
        <v>150</v>
      </c>
      <c r="Q2" s="1" t="str">
        <f>Données!L7</f>
        <v>Laine minérale</v>
      </c>
      <c r="S2" s="1" t="str">
        <f>Données!L22</f>
        <v>Gaz naturel</v>
      </c>
      <c r="U2" s="39" t="str">
        <f>Données!L10</f>
        <v>Acier #123</v>
      </c>
    </row>
    <row r="3" spans="2:21" ht="15" customHeight="1" x14ac:dyDescent="0.3">
      <c r="B3" s="2" t="s">
        <v>15</v>
      </c>
      <c r="C3" s="11">
        <v>0.94</v>
      </c>
      <c r="D3" s="11">
        <v>47000</v>
      </c>
      <c r="E3" s="11">
        <v>2.75</v>
      </c>
      <c r="G3" s="2" t="s">
        <v>0</v>
      </c>
      <c r="H3" s="2">
        <v>3.5999999999999997E-2</v>
      </c>
      <c r="J3" s="2" t="s">
        <v>16</v>
      </c>
      <c r="K3" s="38">
        <v>4.3999999999999999E-5</v>
      </c>
      <c r="L3" s="2">
        <v>42</v>
      </c>
      <c r="M3" s="2">
        <v>175</v>
      </c>
    </row>
    <row r="4" spans="2:21" ht="15" customHeight="1" x14ac:dyDescent="0.3">
      <c r="B4" s="2" t="s">
        <v>17</v>
      </c>
      <c r="C4" s="11">
        <v>0.92</v>
      </c>
      <c r="D4" s="11">
        <v>43400</v>
      </c>
      <c r="E4" s="11">
        <v>3.3</v>
      </c>
      <c r="G4" s="2" t="s">
        <v>18</v>
      </c>
      <c r="H4" s="2">
        <v>2.5000000000000001E-2</v>
      </c>
    </row>
    <row r="5" spans="2:21" ht="15" customHeight="1" x14ac:dyDescent="0.3">
      <c r="B5" s="2" t="s">
        <v>4</v>
      </c>
      <c r="C5" s="11">
        <v>0.87</v>
      </c>
      <c r="D5" s="11">
        <v>15400</v>
      </c>
      <c r="E5" s="11">
        <v>1.8</v>
      </c>
    </row>
    <row r="6" spans="2:21" ht="15" customHeight="1" x14ac:dyDescent="0.3">
      <c r="B6" s="2" t="s">
        <v>19</v>
      </c>
      <c r="C6" s="11">
        <v>0.9</v>
      </c>
      <c r="D6" s="11">
        <v>15000</v>
      </c>
      <c r="E6" s="11">
        <v>8.1000000000000003E-2</v>
      </c>
    </row>
    <row r="7" spans="2:21" ht="15" customHeight="1" x14ac:dyDescent="0.3">
      <c r="B7" s="2" t="s">
        <v>143</v>
      </c>
      <c r="C7" s="2">
        <v>0.75</v>
      </c>
      <c r="D7" s="2">
        <v>20000</v>
      </c>
      <c r="E7" s="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Données</vt:lpstr>
      <vt:lpstr>Centrale_nb2-1</vt:lpstr>
      <vt:lpstr>Centrale_nb2</vt:lpstr>
      <vt:lpstr>Centrale_nb1_hiver-11</vt:lpstr>
      <vt:lpstr>Centrale_nb1_hiver-10</vt:lpstr>
      <vt:lpstr>Centrale_nb1_hiver-9</vt:lpstr>
      <vt:lpstr>Centrale_nb1_hiver-8</vt:lpstr>
      <vt:lpstr>Centrale_nb1_hiver-7</vt:lpstr>
      <vt:lpstr>Centrale_nb1_hiver-6</vt:lpstr>
      <vt:lpstr>Centrale_nb1_hiver-5</vt:lpstr>
      <vt:lpstr>Centrale_nb1_hiver-4</vt:lpstr>
      <vt:lpstr>Centrale_nb1_hiver-3</vt:lpstr>
      <vt:lpstr>Centrale_nb1_hiver-2</vt:lpstr>
      <vt:lpstr>Centrale_nb1_hiver-1</vt:lpstr>
      <vt:lpstr>Centrale_nb1_hiver</vt:lpstr>
      <vt:lpstr>Centrale_nb1_été</vt:lpstr>
      <vt:lpstr>Centrale_nom</vt:lpstr>
      <vt:lpstr>Centrale_nom_balancée-1</vt:lpstr>
      <vt:lpstr>Centrale_nom_balancée</vt:lpstr>
      <vt:lpstr>Centrale_nom_hiv_riv</vt:lpstr>
      <vt:lpstr>Centrale_nom_hmoyen</vt:lpstr>
      <vt:lpstr>Centrale_charbon_3étages</vt:lpstr>
      <vt:lpstr>Centrale_biomasse_0étages</vt:lpstr>
      <vt:lpstr>Centrale_nom_hiver</vt:lpstr>
      <vt:lpstr>Centrale_0etages_biom_corr-1</vt:lpstr>
      <vt:lpstr>Centrale_0etages_biom_corr</vt:lpstr>
      <vt:lpstr>Centrale_0etages_biom</vt:lpstr>
      <vt:lpstr>Centrale_2etages_biom</vt:lpstr>
      <vt:lpstr>Centrale_4etages_charb</vt:lpstr>
      <vt:lpstr>Centrale_hiv_sout</vt:lpstr>
      <vt:lpstr>Centrale_nominale_soutirage</vt:lpstr>
      <vt:lpstr>Centrale_hiver_soutirage</vt:lpstr>
      <vt:lpstr>Centrale_hiver</vt:lpstr>
      <vt:lpstr>Centrale_été1</vt:lpstr>
      <vt:lpstr>Centrale_étésec</vt:lpstr>
      <vt:lpstr>Centrale_étésec_soutirage</vt:lpstr>
      <vt:lpstr>Centrale_hiver_pas de zero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Philippe-Etienne Legentil</dc:creator>
  <cp:lastModifiedBy>Philippe-Etienne Legentil</cp:lastModifiedBy>
  <dcterms:created xsi:type="dcterms:W3CDTF">2024-03-18T18:40:50Z</dcterms:created>
  <dcterms:modified xsi:type="dcterms:W3CDTF">2024-03-28T14:14:13Z</dcterms:modified>
</cp:coreProperties>
</file>