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hil\Dropbox\Poly\H2024\Projet3\logiciel\"/>
    </mc:Choice>
  </mc:AlternateContent>
  <xr:revisionPtr revIDLastSave="0" documentId="13_ncr:1_{C7CCC1A0-5B8C-491D-B698-90C91AD32014}" xr6:coauthVersionLast="47" xr6:coauthVersionMax="47" xr10:uidLastSave="{00000000-0000-0000-0000-000000000000}"/>
  <bookViews>
    <workbookView xWindow="-108" yWindow="-108" windowWidth="23256" windowHeight="12720" xr2:uid="{D8205C79-7C90-44A7-BAE3-9C1911C9DDD7}"/>
  </bookViews>
  <sheets>
    <sheet name="Données" sheetId="1" r:id="rId1"/>
    <sheet name="sim2" sheetId="316" r:id="rId2"/>
    <sheet name="Base de données" sheetId="24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248" l="1"/>
  <c r="Q2" i="248"/>
  <c r="S2" i="248"/>
</calcChain>
</file>

<file path=xl/sharedStrings.xml><?xml version="1.0" encoding="utf-8"?>
<sst xmlns="http://schemas.openxmlformats.org/spreadsheetml/2006/main" count="192" uniqueCount="78">
  <si>
    <t>rend p</t>
  </si>
  <si>
    <t>rend alt</t>
  </si>
  <si>
    <t>inf</t>
  </si>
  <si>
    <t>sup</t>
  </si>
  <si>
    <t>debit</t>
  </si>
  <si>
    <t>n_points</t>
  </si>
  <si>
    <t>noms</t>
  </si>
  <si>
    <t>Titre sim</t>
  </si>
  <si>
    <t>sim2</t>
  </si>
  <si>
    <t>turbine</t>
  </si>
  <si>
    <t>HP</t>
  </si>
  <si>
    <t>Pitch diameter</t>
  </si>
  <si>
    <t>Débit design</t>
  </si>
  <si>
    <t>n gv stage</t>
  </si>
  <si>
    <t>LP</t>
  </si>
  <si>
    <t>Longueur aubes</t>
  </si>
  <si>
    <t>pitch diameter</t>
  </si>
  <si>
    <t>soutirage</t>
  </si>
  <si>
    <t>etages int</t>
  </si>
  <si>
    <t>P out</t>
  </si>
  <si>
    <t xml:space="preserve">P out </t>
  </si>
  <si>
    <t>P in</t>
  </si>
  <si>
    <t>resurchauffe</t>
  </si>
  <si>
    <t>int</t>
  </si>
  <si>
    <t xml:space="preserve">T in </t>
  </si>
  <si>
    <t>riviere</t>
  </si>
  <si>
    <t>T in</t>
  </si>
  <si>
    <t>T out</t>
  </si>
  <si>
    <t>perte vapeur</t>
  </si>
  <si>
    <t>centrale</t>
  </si>
  <si>
    <t>opt inf</t>
  </si>
  <si>
    <t>opt sup</t>
  </si>
  <si>
    <t>Sy</t>
  </si>
  <si>
    <t>FS</t>
  </si>
  <si>
    <t>L tuyau</t>
  </si>
  <si>
    <t>epaisseur iso</t>
  </si>
  <si>
    <t>Tinf</t>
  </si>
  <si>
    <t>qui arrive a</t>
  </si>
  <si>
    <t>Type de carburant</t>
  </si>
  <si>
    <t>Chaudière</t>
  </si>
  <si>
    <t>cap evap</t>
  </si>
  <si>
    <t>V ballon</t>
  </si>
  <si>
    <t>Carburant</t>
  </si>
  <si>
    <t>Charbon</t>
  </si>
  <si>
    <t>Gaz naturel</t>
  </si>
  <si>
    <t>Pétrole</t>
  </si>
  <si>
    <t>Bois déchiqueté</t>
  </si>
  <si>
    <t>Biomasse</t>
  </si>
  <si>
    <t>GCV</t>
  </si>
  <si>
    <t>rendement</t>
  </si>
  <si>
    <t>Puissance</t>
  </si>
  <si>
    <t>MW</t>
  </si>
  <si>
    <t>Debit</t>
  </si>
  <si>
    <t>kg/s</t>
  </si>
  <si>
    <t>Rendement</t>
  </si>
  <si>
    <t>Courbe de rendement</t>
  </si>
  <si>
    <t>kgCO2/kg</t>
  </si>
  <si>
    <t>K isolant</t>
  </si>
  <si>
    <t>Matériau</t>
  </si>
  <si>
    <t>Conductivité</t>
  </si>
  <si>
    <t>Cellulose</t>
  </si>
  <si>
    <t>Laine minérale</t>
  </si>
  <si>
    <t>Polyuréthane</t>
  </si>
  <si>
    <t>Choixm</t>
  </si>
  <si>
    <t>Choixc</t>
  </si>
  <si>
    <t>Métal</t>
  </si>
  <si>
    <t>Rugosité</t>
  </si>
  <si>
    <t>Choixtu</t>
  </si>
  <si>
    <t>Matériau du tuyau</t>
  </si>
  <si>
    <t>Acier #123</t>
  </si>
  <si>
    <t>Acier #456</t>
  </si>
  <si>
    <t>interp</t>
  </si>
  <si>
    <t xml:space="preserve"> </t>
  </si>
  <si>
    <t>Conductivitém</t>
  </si>
  <si>
    <t>Pas de resurchauffe</t>
  </si>
  <si>
    <t>Étage 1</t>
  </si>
  <si>
    <t>Étage 2</t>
  </si>
  <si>
    <t>Étage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</si>
</sst>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11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sim2\sim2c.png" TargetMode="External"/><Relationship Id="rId7" Type="http://schemas.openxmlformats.org/officeDocument/2006/relationships/image" Target="sim2\sim2g.png" TargetMode="External"/><Relationship Id="rId2" Type="http://schemas.openxmlformats.org/officeDocument/2006/relationships/image" Target="sim2\sim2b.png" TargetMode="External"/><Relationship Id="rId1" Type="http://schemas.openxmlformats.org/officeDocument/2006/relationships/image" Target="sim2\sim2a.png" TargetMode="External"/><Relationship Id="rId6" Type="http://schemas.openxmlformats.org/officeDocument/2006/relationships/image" Target="sim2\sim2f.png" TargetMode="External"/><Relationship Id="rId5" Type="http://schemas.openxmlformats.org/officeDocument/2006/relationships/image" Target="sim2\sim2e.png" TargetMode="External"/><Relationship Id="rId4" Type="http://schemas.openxmlformats.org/officeDocument/2006/relationships/image" Target="sim2\sim2d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17</xdr:row>
          <xdr:rowOff>0</xdr:rowOff>
        </xdr:from>
        <xdr:to>
          <xdr:col>2</xdr:col>
          <xdr:colOff>373380</xdr:colOff>
          <xdr:row>19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71682" name="interp button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21</xdr:row>
      <xdr:rowOff>0</xdr:rowOff>
    </xdr:from>
    <xdr:to>
      <xdr:col>7</xdr:col>
      <xdr:colOff>89747</xdr:colOff>
      <xdr:row>45</xdr:row>
      <xdr:rowOff>55880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40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7</xdr:col>
      <xdr:colOff>89747</xdr:colOff>
      <xdr:row>70</xdr:row>
      <xdr:rowOff>55880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8412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7</xdr:col>
      <xdr:colOff>89747</xdr:colOff>
      <xdr:row>95</xdr:row>
      <xdr:rowOff>55880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2984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7</xdr:col>
      <xdr:colOff>89747</xdr:colOff>
      <xdr:row>120</xdr:row>
      <xdr:rowOff>55880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7556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7</xdr:col>
      <xdr:colOff>89747</xdr:colOff>
      <xdr:row>145</xdr:row>
      <xdr:rowOff>55880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2128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145</xdr:row>
      <xdr:rowOff>182879</xdr:rowOff>
    </xdr:from>
    <xdr:to>
      <xdr:col>7</xdr:col>
      <xdr:colOff>89747</xdr:colOff>
      <xdr:row>170</xdr:row>
      <xdr:rowOff>55879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67004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170</xdr:row>
      <xdr:rowOff>182879</xdr:rowOff>
    </xdr:from>
    <xdr:to>
      <xdr:col>7</xdr:col>
      <xdr:colOff>89747</xdr:colOff>
      <xdr:row>195</xdr:row>
      <xdr:rowOff>55879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1272479"/>
          <a:ext cx="5926667" cy="444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7F09-10D0-4B4F-85DD-A5F982120B31}">
  <sheetPr codeName="Sheet1"/>
  <dimension ref="A1:X31"/>
  <sheetViews>
    <sheetView tabSelected="1" workbookViewId="0">
      <selection activeCell="B7" sqref="B7"/>
    </sheetView>
  </sheetViews>
  <sheetFormatPr defaultRowHeight="14.4" x14ac:dyDescent="0.3"/>
  <cols>
    <col min="1" max="1" width="22.44140625" customWidth="1"/>
    <col min="2" max="2" width="13.88671875" customWidth="1"/>
    <col min="5" max="5" width="13.21875" customWidth="1"/>
    <col min="9" max="9" width="12.33203125" customWidth="1"/>
    <col min="14" max="15" width="8.88671875" customWidth="1"/>
  </cols>
  <sheetData>
    <row r="1" spans="1:24" x14ac:dyDescent="0.3">
      <c r="B1" t="s">
        <v>29</v>
      </c>
      <c r="F1" t="s">
        <v>9</v>
      </c>
      <c r="J1" t="s">
        <v>23</v>
      </c>
      <c r="M1" t="s">
        <v>4</v>
      </c>
      <c r="O1" s="2"/>
      <c r="P1" s="2" t="s">
        <v>25</v>
      </c>
      <c r="Q1" s="2"/>
      <c r="R1" s="2"/>
      <c r="S1" s="2" t="s">
        <v>6</v>
      </c>
      <c r="V1" t="s">
        <v>39</v>
      </c>
      <c r="X1" t="s">
        <v>71</v>
      </c>
    </row>
    <row r="2" spans="1:24" x14ac:dyDescent="0.3">
      <c r="A2" t="s">
        <v>28</v>
      </c>
      <c r="B2">
        <v>0.1</v>
      </c>
      <c r="D2" t="s">
        <v>10</v>
      </c>
      <c r="E2" t="s">
        <v>12</v>
      </c>
      <c r="F2">
        <v>500</v>
      </c>
      <c r="H2">
        <v>1</v>
      </c>
      <c r="I2" t="s">
        <v>19</v>
      </c>
      <c r="J2">
        <v>2000</v>
      </c>
      <c r="L2" t="s">
        <v>2</v>
      </c>
      <c r="M2">
        <v>100</v>
      </c>
      <c r="O2" s="2" t="s">
        <v>4</v>
      </c>
      <c r="P2" s="2">
        <v>400</v>
      </c>
      <c r="Q2" s="2"/>
      <c r="R2" s="2" t="s">
        <v>7</v>
      </c>
      <c r="S2" s="2" t="s">
        <v>8</v>
      </c>
      <c r="U2" s="2" t="s">
        <v>40</v>
      </c>
      <c r="V2" s="2">
        <v>500</v>
      </c>
      <c r="X2">
        <v>150</v>
      </c>
    </row>
    <row r="3" spans="1:24" x14ac:dyDescent="0.3">
      <c r="A3" s="1" t="s">
        <v>0</v>
      </c>
      <c r="B3">
        <v>0.95</v>
      </c>
      <c r="E3" t="s">
        <v>11</v>
      </c>
      <c r="F3">
        <v>900</v>
      </c>
      <c r="I3" t="s">
        <v>17</v>
      </c>
      <c r="J3">
        <v>0.1</v>
      </c>
      <c r="L3" t="s">
        <v>3</v>
      </c>
      <c r="M3">
        <v>700</v>
      </c>
      <c r="O3" s="2" t="s">
        <v>26</v>
      </c>
      <c r="P3" s="2">
        <v>290</v>
      </c>
      <c r="Q3" s="2"/>
      <c r="R3" s="2"/>
      <c r="S3" s="2"/>
      <c r="U3" t="s">
        <v>41</v>
      </c>
      <c r="V3">
        <v>50</v>
      </c>
    </row>
    <row r="4" spans="1:24" x14ac:dyDescent="0.3">
      <c r="A4" s="1" t="s">
        <v>1</v>
      </c>
      <c r="B4">
        <v>0.98</v>
      </c>
      <c r="E4" t="s">
        <v>13</v>
      </c>
      <c r="F4">
        <v>1</v>
      </c>
      <c r="H4" t="s">
        <v>37</v>
      </c>
      <c r="I4" t="s">
        <v>22</v>
      </c>
      <c r="J4">
        <v>0</v>
      </c>
      <c r="L4" t="s">
        <v>5</v>
      </c>
      <c r="M4">
        <v>100</v>
      </c>
      <c r="O4" s="2" t="s">
        <v>27</v>
      </c>
      <c r="P4" s="2">
        <v>310</v>
      </c>
      <c r="Q4" s="2"/>
      <c r="R4" s="2"/>
      <c r="S4" s="2"/>
    </row>
    <row r="5" spans="1:24" x14ac:dyDescent="0.3">
      <c r="A5" s="1" t="s">
        <v>33</v>
      </c>
      <c r="B5">
        <v>2</v>
      </c>
      <c r="E5" t="s">
        <v>17</v>
      </c>
      <c r="F5">
        <v>0.1</v>
      </c>
      <c r="H5">
        <v>2</v>
      </c>
      <c r="I5" t="s">
        <v>19</v>
      </c>
      <c r="J5">
        <v>1000</v>
      </c>
    </row>
    <row r="6" spans="1:24" x14ac:dyDescent="0.3">
      <c r="A6" s="1" t="s">
        <v>34</v>
      </c>
      <c r="B6">
        <v>10</v>
      </c>
      <c r="E6" t="s">
        <v>24</v>
      </c>
      <c r="F6">
        <v>800</v>
      </c>
      <c r="I6" t="s">
        <v>17</v>
      </c>
      <c r="J6">
        <v>0.1</v>
      </c>
      <c r="L6" t="s">
        <v>30</v>
      </c>
      <c r="M6">
        <v>200</v>
      </c>
    </row>
    <row r="7" spans="1:24" x14ac:dyDescent="0.3">
      <c r="A7" s="1" t="s">
        <v>57</v>
      </c>
      <c r="B7" t="s">
        <v>61</v>
      </c>
      <c r="E7" t="s">
        <v>21</v>
      </c>
      <c r="F7">
        <v>14000</v>
      </c>
      <c r="I7" t="s">
        <v>22</v>
      </c>
      <c r="J7">
        <v>700</v>
      </c>
      <c r="L7" t="s">
        <v>31</v>
      </c>
      <c r="M7">
        <v>700</v>
      </c>
    </row>
    <row r="8" spans="1:24" x14ac:dyDescent="0.3">
      <c r="A8" s="1" t="s">
        <v>35</v>
      </c>
      <c r="B8">
        <v>0.1</v>
      </c>
      <c r="E8" t="s">
        <v>20</v>
      </c>
      <c r="F8">
        <v>3000</v>
      </c>
      <c r="H8">
        <v>3</v>
      </c>
      <c r="I8" t="s">
        <v>19</v>
      </c>
    </row>
    <row r="9" spans="1:24" x14ac:dyDescent="0.3">
      <c r="A9" s="1" t="s">
        <v>36</v>
      </c>
      <c r="B9">
        <v>300</v>
      </c>
      <c r="D9" t="s">
        <v>14</v>
      </c>
      <c r="E9" t="s">
        <v>15</v>
      </c>
      <c r="F9">
        <v>1000</v>
      </c>
      <c r="I9" t="s">
        <v>17</v>
      </c>
    </row>
    <row r="10" spans="1:24" x14ac:dyDescent="0.3">
      <c r="A10" s="1" t="s">
        <v>68</v>
      </c>
      <c r="B10" s="3" t="s">
        <v>69</v>
      </c>
      <c r="E10" t="s">
        <v>16</v>
      </c>
      <c r="F10">
        <v>1300</v>
      </c>
      <c r="I10" t="s">
        <v>22</v>
      </c>
    </row>
    <row r="11" spans="1:24" x14ac:dyDescent="0.3">
      <c r="A11" s="1" t="s">
        <v>38</v>
      </c>
      <c r="B11" t="s">
        <v>46</v>
      </c>
      <c r="E11" t="s">
        <v>20</v>
      </c>
      <c r="F11">
        <v>10</v>
      </c>
      <c r="H11">
        <v>4</v>
      </c>
      <c r="I11" t="s">
        <v>19</v>
      </c>
    </row>
    <row r="12" spans="1:24" x14ac:dyDescent="0.3">
      <c r="E12" t="s">
        <v>22</v>
      </c>
      <c r="F12">
        <v>700</v>
      </c>
      <c r="I12" t="s">
        <v>17</v>
      </c>
    </row>
    <row r="13" spans="1:24" x14ac:dyDescent="0.3">
      <c r="E13" t="s">
        <v>18</v>
      </c>
      <c r="F13">
        <v>2</v>
      </c>
      <c r="I13" t="s">
        <v>22</v>
      </c>
    </row>
    <row r="14" spans="1:24" x14ac:dyDescent="0.3">
      <c r="H14">
        <v>5</v>
      </c>
      <c r="I14" t="s">
        <v>19</v>
      </c>
    </row>
    <row r="15" spans="1:24" x14ac:dyDescent="0.3">
      <c r="A15" s="1"/>
      <c r="B15" s="4"/>
      <c r="I15" t="s">
        <v>17</v>
      </c>
    </row>
    <row r="16" spans="1:24" x14ac:dyDescent="0.3">
      <c r="I16" t="s">
        <v>22</v>
      </c>
    </row>
    <row r="17" spans="5:9" x14ac:dyDescent="0.3">
      <c r="H17">
        <v>6</v>
      </c>
      <c r="I17" t="s">
        <v>19</v>
      </c>
    </row>
    <row r="18" spans="5:9" x14ac:dyDescent="0.3">
      <c r="I18" t="s">
        <v>17</v>
      </c>
    </row>
    <row r="19" spans="5:9" x14ac:dyDescent="0.3">
      <c r="E19" t="s">
        <v>72</v>
      </c>
      <c r="I19" t="s">
        <v>22</v>
      </c>
    </row>
    <row r="20" spans="5:9" x14ac:dyDescent="0.3">
      <c r="H20">
        <v>7</v>
      </c>
      <c r="I20" t="s">
        <v>19</v>
      </c>
    </row>
    <row r="21" spans="5:9" x14ac:dyDescent="0.3">
      <c r="I21" t="s">
        <v>17</v>
      </c>
    </row>
    <row r="22" spans="5:9" x14ac:dyDescent="0.3">
      <c r="I22" t="s">
        <v>22</v>
      </c>
    </row>
    <row r="23" spans="5:9" x14ac:dyDescent="0.3">
      <c r="H23">
        <v>8</v>
      </c>
      <c r="I23" t="s">
        <v>19</v>
      </c>
    </row>
    <row r="24" spans="5:9" x14ac:dyDescent="0.3">
      <c r="I24" t="s">
        <v>17</v>
      </c>
    </row>
    <row r="25" spans="5:9" x14ac:dyDescent="0.3">
      <c r="I25" t="s">
        <v>22</v>
      </c>
    </row>
    <row r="26" spans="5:9" x14ac:dyDescent="0.3">
      <c r="H26">
        <v>9</v>
      </c>
      <c r="I26" t="s">
        <v>19</v>
      </c>
    </row>
    <row r="27" spans="5:9" x14ac:dyDescent="0.3">
      <c r="I27" t="s">
        <v>17</v>
      </c>
    </row>
    <row r="28" spans="5:9" x14ac:dyDescent="0.3">
      <c r="I28" t="s">
        <v>22</v>
      </c>
    </row>
    <row r="29" spans="5:9" x14ac:dyDescent="0.3">
      <c r="H29">
        <v>10</v>
      </c>
      <c r="I29" t="s">
        <v>19</v>
      </c>
    </row>
    <row r="30" spans="5:9" x14ac:dyDescent="0.3">
      <c r="I30" t="s">
        <v>17</v>
      </c>
    </row>
    <row r="31" spans="5:9" x14ac:dyDescent="0.3">
      <c r="I3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_python">
                <anchor moveWithCells="1" sizeWithCells="1">
                  <from>
                    <xdr:col>0</xdr:col>
                    <xdr:colOff>7620</xdr:colOff>
                    <xdr:row>17</xdr:row>
                    <xdr:rowOff>0</xdr:rowOff>
                  </from>
                  <to>
                    <xdr:col>2</xdr:col>
                    <xdr:colOff>373380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2EFD84-647E-4DA2-86CE-AB9E51D6C822}">
          <x14:formula1>
            <xm:f>'Base de données'!$B$2:$B$6</xm:f>
          </x14:formula1>
          <xm:sqref>B11</xm:sqref>
        </x14:dataValidation>
        <x14:dataValidation type="list" allowBlank="1" showInputMessage="1" showErrorMessage="1" xr:uid="{54057376-53D9-4528-8893-06DFE4F10A97}">
          <x14:formula1>
            <xm:f>'Base de données'!$G$2:$G$4</xm:f>
          </x14:formula1>
          <xm:sqref>B7</xm:sqref>
        </x14:dataValidation>
        <x14:dataValidation type="list" allowBlank="1" showInputMessage="1" showErrorMessage="1" xr:uid="{247388E7-5549-4592-B4DA-35E774DA3D34}">
          <x14:formula1>
            <xm:f>'Base de données'!$J$2:$J$9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CC3B-155F-4C13-ABC0-0AC2167F86D0}">
  <sheetPr codeName="Sheet2"/>
  <dimension ref="A1:X200"/>
  <sheetViews>
    <sheetView workbookViewId="0">
      <selection activeCell="E16" sqref="E16"/>
    </sheetView>
  </sheetViews>
  <sheetFormatPr defaultRowHeight="14.4" x14ac:dyDescent="0.3"/>
  <cols>
    <col min="1" max="1" width="22.44140625" customWidth="1"/>
    <col min="2" max="2" width="13.88671875" customWidth="1"/>
    <col min="5" max="5" width="13.21875" customWidth="1"/>
    <col min="9" max="9" width="12.33203125" customWidth="1"/>
    <col min="14" max="15" width="8.88671875" customWidth="1"/>
    <col min="24" max="16384" width="8.88671875" style="2"/>
  </cols>
  <sheetData>
    <row r="1" spans="1:24" x14ac:dyDescent="0.3">
      <c r="B1" t="s">
        <v>29</v>
      </c>
      <c r="F1" t="s">
        <v>9</v>
      </c>
      <c r="J1" t="s">
        <v>23</v>
      </c>
      <c r="M1" t="s">
        <v>4</v>
      </c>
      <c r="P1" t="s">
        <v>25</v>
      </c>
      <c r="S1" t="s">
        <v>6</v>
      </c>
      <c r="V1" t="s">
        <v>39</v>
      </c>
      <c r="X1" s="2" t="s">
        <v>71</v>
      </c>
    </row>
    <row r="2" spans="1:24" x14ac:dyDescent="0.3">
      <c r="A2" t="s">
        <v>28</v>
      </c>
      <c r="B2">
        <v>0.1</v>
      </c>
      <c r="D2" t="s">
        <v>10</v>
      </c>
      <c r="E2" t="s">
        <v>12</v>
      </c>
      <c r="F2">
        <v>500</v>
      </c>
      <c r="H2">
        <v>1</v>
      </c>
      <c r="I2" t="s">
        <v>19</v>
      </c>
      <c r="J2">
        <v>2000</v>
      </c>
      <c r="L2" t="s">
        <v>2</v>
      </c>
      <c r="M2">
        <v>100</v>
      </c>
      <c r="O2" t="s">
        <v>4</v>
      </c>
      <c r="P2">
        <v>400</v>
      </c>
      <c r="R2" t="s">
        <v>7</v>
      </c>
      <c r="S2" t="s">
        <v>8</v>
      </c>
      <c r="U2" t="s">
        <v>40</v>
      </c>
      <c r="V2">
        <v>500</v>
      </c>
      <c r="X2" s="2">
        <v>150</v>
      </c>
    </row>
    <row r="3" spans="1:24" x14ac:dyDescent="0.3">
      <c r="A3" s="1" t="s">
        <v>0</v>
      </c>
      <c r="B3">
        <v>0.95</v>
      </c>
      <c r="E3" t="s">
        <v>11</v>
      </c>
      <c r="F3">
        <v>900</v>
      </c>
      <c r="I3" t="s">
        <v>17</v>
      </c>
      <c r="J3">
        <v>0.1</v>
      </c>
      <c r="L3" t="s">
        <v>3</v>
      </c>
      <c r="M3">
        <v>700</v>
      </c>
      <c r="O3" t="s">
        <v>26</v>
      </c>
      <c r="P3">
        <v>290</v>
      </c>
      <c r="U3" t="s">
        <v>41</v>
      </c>
      <c r="V3">
        <v>50</v>
      </c>
    </row>
    <row r="4" spans="1:24" x14ac:dyDescent="0.3">
      <c r="A4" s="1" t="s">
        <v>1</v>
      </c>
      <c r="B4">
        <v>0.98</v>
      </c>
      <c r="E4" t="s">
        <v>13</v>
      </c>
      <c r="F4">
        <v>1</v>
      </c>
      <c r="H4" t="s">
        <v>37</v>
      </c>
      <c r="I4" t="s">
        <v>22</v>
      </c>
      <c r="J4">
        <v>0</v>
      </c>
      <c r="L4" t="s">
        <v>5</v>
      </c>
      <c r="M4">
        <v>100</v>
      </c>
      <c r="O4" t="s">
        <v>27</v>
      </c>
      <c r="P4">
        <v>310</v>
      </c>
    </row>
    <row r="5" spans="1:24" x14ac:dyDescent="0.3">
      <c r="A5" s="1" t="s">
        <v>33</v>
      </c>
      <c r="B5">
        <v>2</v>
      </c>
      <c r="E5" t="s">
        <v>17</v>
      </c>
      <c r="F5">
        <v>0.1</v>
      </c>
      <c r="H5">
        <v>2</v>
      </c>
      <c r="I5" t="s">
        <v>19</v>
      </c>
      <c r="J5">
        <v>1000</v>
      </c>
    </row>
    <row r="6" spans="1:24" x14ac:dyDescent="0.3">
      <c r="A6" s="1" t="s">
        <v>34</v>
      </c>
      <c r="B6">
        <v>10</v>
      </c>
      <c r="E6" t="s">
        <v>24</v>
      </c>
      <c r="F6">
        <v>800</v>
      </c>
      <c r="I6" t="s">
        <v>17</v>
      </c>
      <c r="J6">
        <v>0.1</v>
      </c>
      <c r="L6" t="s">
        <v>30</v>
      </c>
      <c r="M6">
        <v>200</v>
      </c>
    </row>
    <row r="7" spans="1:24" x14ac:dyDescent="0.3">
      <c r="A7" s="1" t="s">
        <v>57</v>
      </c>
      <c r="B7" t="s">
        <v>62</v>
      </c>
      <c r="E7" t="s">
        <v>21</v>
      </c>
      <c r="F7">
        <v>14000</v>
      </c>
      <c r="I7" t="s">
        <v>22</v>
      </c>
      <c r="J7">
        <v>700</v>
      </c>
      <c r="L7" t="s">
        <v>31</v>
      </c>
      <c r="M7">
        <v>700</v>
      </c>
    </row>
    <row r="8" spans="1:24" x14ac:dyDescent="0.3">
      <c r="A8" s="1" t="s">
        <v>35</v>
      </c>
      <c r="B8">
        <v>0.1</v>
      </c>
      <c r="E8" t="s">
        <v>20</v>
      </c>
      <c r="F8">
        <v>3000</v>
      </c>
      <c r="H8">
        <v>3</v>
      </c>
      <c r="I8" t="s">
        <v>19</v>
      </c>
    </row>
    <row r="9" spans="1:24" x14ac:dyDescent="0.3">
      <c r="A9" s="1" t="s">
        <v>36</v>
      </c>
      <c r="B9">
        <v>300</v>
      </c>
      <c r="D9" t="s">
        <v>14</v>
      </c>
      <c r="E9" t="s">
        <v>15</v>
      </c>
      <c r="F9">
        <v>1000</v>
      </c>
      <c r="I9" t="s">
        <v>17</v>
      </c>
    </row>
    <row r="10" spans="1:24" x14ac:dyDescent="0.3">
      <c r="A10" s="1" t="s">
        <v>68</v>
      </c>
      <c r="B10" s="3" t="s">
        <v>70</v>
      </c>
      <c r="E10" t="s">
        <v>16</v>
      </c>
      <c r="F10">
        <v>1300</v>
      </c>
      <c r="I10" t="s">
        <v>22</v>
      </c>
    </row>
    <row r="11" spans="1:24" x14ac:dyDescent="0.3">
      <c r="A11" s="1" t="s">
        <v>38</v>
      </c>
      <c r="B11" t="s">
        <v>44</v>
      </c>
      <c r="E11" t="s">
        <v>20</v>
      </c>
      <c r="F11">
        <v>10</v>
      </c>
      <c r="H11">
        <v>4</v>
      </c>
      <c r="I11" t="s">
        <v>19</v>
      </c>
    </row>
    <row r="12" spans="1:24" x14ac:dyDescent="0.3">
      <c r="E12" t="s">
        <v>22</v>
      </c>
      <c r="F12">
        <v>700</v>
      </c>
      <c r="I12" t="s">
        <v>17</v>
      </c>
    </row>
    <row r="13" spans="1:24" x14ac:dyDescent="0.3">
      <c r="E13" t="s">
        <v>18</v>
      </c>
      <c r="F13">
        <v>2</v>
      </c>
      <c r="I13" t="s">
        <v>22</v>
      </c>
    </row>
    <row r="14" spans="1:24" x14ac:dyDescent="0.3">
      <c r="H14">
        <v>5</v>
      </c>
      <c r="I14" t="s">
        <v>19</v>
      </c>
    </row>
    <row r="15" spans="1:24" x14ac:dyDescent="0.3">
      <c r="A15" s="1" t="s">
        <v>50</v>
      </c>
      <c r="B15" s="4">
        <v>559.2133</v>
      </c>
      <c r="C15" t="s">
        <v>51</v>
      </c>
      <c r="I15" t="s">
        <v>17</v>
      </c>
    </row>
    <row r="16" spans="1:24" x14ac:dyDescent="0.3">
      <c r="A16" t="s">
        <v>52</v>
      </c>
      <c r="B16">
        <v>510.55</v>
      </c>
      <c r="C16" t="s">
        <v>53</v>
      </c>
      <c r="I16" t="s">
        <v>22</v>
      </c>
    </row>
    <row r="17" spans="1:9" x14ac:dyDescent="0.3">
      <c r="A17" t="s">
        <v>54</v>
      </c>
      <c r="B17">
        <v>0.3392</v>
      </c>
      <c r="H17">
        <v>6</v>
      </c>
      <c r="I17" t="s">
        <v>19</v>
      </c>
    </row>
    <row r="18" spans="1:9" x14ac:dyDescent="0.3">
      <c r="A18" t="s">
        <v>8</v>
      </c>
      <c r="I18" t="s">
        <v>17</v>
      </c>
    </row>
    <row r="19" spans="1:9" x14ac:dyDescent="0.3">
      <c r="A19" t="s">
        <v>55</v>
      </c>
      <c r="E19" t="s">
        <v>72</v>
      </c>
      <c r="I19" t="s">
        <v>22</v>
      </c>
    </row>
    <row r="20" spans="1:9" x14ac:dyDescent="0.3">
      <c r="H20">
        <v>7</v>
      </c>
      <c r="I20" t="s">
        <v>19</v>
      </c>
    </row>
    <row r="21" spans="1:9" x14ac:dyDescent="0.3">
      <c r="I21" t="s">
        <v>17</v>
      </c>
    </row>
    <row r="22" spans="1:9" x14ac:dyDescent="0.3">
      <c r="I22" t="s">
        <v>22</v>
      </c>
    </row>
    <row r="23" spans="1:9" x14ac:dyDescent="0.3">
      <c r="H23">
        <v>8</v>
      </c>
      <c r="I23" t="s">
        <v>19</v>
      </c>
    </row>
    <row r="24" spans="1:9" x14ac:dyDescent="0.3">
      <c r="I24" t="s">
        <v>17</v>
      </c>
    </row>
    <row r="25" spans="1:9" x14ac:dyDescent="0.3">
      <c r="I25" t="s">
        <v>22</v>
      </c>
    </row>
    <row r="26" spans="1:9" x14ac:dyDescent="0.3">
      <c r="H26">
        <v>9</v>
      </c>
      <c r="I26" t="s">
        <v>19</v>
      </c>
    </row>
    <row r="27" spans="1:9" x14ac:dyDescent="0.3">
      <c r="I27" t="s">
        <v>17</v>
      </c>
    </row>
    <row r="28" spans="1:9" x14ac:dyDescent="0.3">
      <c r="I28" t="s">
        <v>22</v>
      </c>
    </row>
    <row r="29" spans="1:9" x14ac:dyDescent="0.3">
      <c r="H29">
        <v>10</v>
      </c>
      <c r="I29" t="s">
        <v>19</v>
      </c>
    </row>
    <row r="30" spans="1:9" x14ac:dyDescent="0.3">
      <c r="I30" t="s">
        <v>17</v>
      </c>
    </row>
    <row r="31" spans="1:9" x14ac:dyDescent="0.3">
      <c r="I31" t="s">
        <v>22</v>
      </c>
    </row>
    <row r="198" spans="1:2" x14ac:dyDescent="0.3">
      <c r="A198" t="s">
        <v>75</v>
      </c>
      <c r="B198" t="s">
        <v>74</v>
      </c>
    </row>
    <row r="199" spans="1:2" x14ac:dyDescent="0.3">
      <c r="A199" t="s">
        <v>76</v>
      </c>
      <c r="B199">
        <v>1.7889564132911935E-2</v>
      </c>
    </row>
    <row r="200" spans="1:2" x14ac:dyDescent="0.3">
      <c r="A200" t="s">
        <v>77</v>
      </c>
      <c r="B200">
        <v>1.9464822652375622E-2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2" r:id="rId3" name="interp button">
              <controlPr defaultSize="0" print="0" autoFill="0" autoPict="0" macro="[0]!interp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391BF4-A5AD-4F44-9E62-2318706E22B3}">
          <x14:formula1>
            <xm:f>'Base de données'!$J$2:$J$9</xm:f>
          </x14:formula1>
          <xm:sqref>B10</xm:sqref>
        </x14:dataValidation>
        <x14:dataValidation type="list" allowBlank="1" showInputMessage="1" showErrorMessage="1" xr:uid="{6BB25741-DE1D-4680-975B-37CC3E2E4616}">
          <x14:formula1>
            <xm:f>'Base de données'!$G$2:$G$4</xm:f>
          </x14:formula1>
          <xm:sqref>B7</xm:sqref>
        </x14:dataValidation>
        <x14:dataValidation type="list" allowBlank="1" showInputMessage="1" showErrorMessage="1" xr:uid="{A4F83F24-F942-4806-94A0-A4F26C86E9C8}">
          <x14:formula1>
            <xm:f>'Base de données'!$B$2:$B$6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91E4-D6F5-422F-A353-D7A7BA70F603}">
  <sheetPr codeName="Sheet8"/>
  <dimension ref="B1:U6"/>
  <sheetViews>
    <sheetView topLeftCell="B1" workbookViewId="0">
      <selection activeCell="Q2" sqref="Q2"/>
    </sheetView>
  </sheetViews>
  <sheetFormatPr defaultRowHeight="14.4" x14ac:dyDescent="0.3"/>
  <cols>
    <col min="2" max="2" width="14.21875" customWidth="1"/>
    <col min="3" max="3" width="15.6640625" customWidth="1"/>
    <col min="8" max="8" width="11.6640625" customWidth="1"/>
    <col min="10" max="10" width="13.21875" customWidth="1"/>
    <col min="11" max="11" width="12.109375" customWidth="1"/>
    <col min="12" max="12" width="13.33203125" customWidth="1"/>
  </cols>
  <sheetData>
    <row r="1" spans="2:21" x14ac:dyDescent="0.3">
      <c r="B1" t="s">
        <v>42</v>
      </c>
      <c r="C1" t="s">
        <v>49</v>
      </c>
      <c r="D1" t="s">
        <v>48</v>
      </c>
      <c r="E1" t="s">
        <v>56</v>
      </c>
      <c r="G1" t="s">
        <v>58</v>
      </c>
      <c r="H1" t="s">
        <v>59</v>
      </c>
      <c r="J1" t="s">
        <v>65</v>
      </c>
      <c r="K1" t="s">
        <v>66</v>
      </c>
      <c r="L1" t="s">
        <v>73</v>
      </c>
      <c r="M1" t="s">
        <v>32</v>
      </c>
      <c r="Q1" t="s">
        <v>63</v>
      </c>
      <c r="S1" t="s">
        <v>64</v>
      </c>
      <c r="U1" t="s">
        <v>67</v>
      </c>
    </row>
    <row r="2" spans="2:21" x14ac:dyDescent="0.3">
      <c r="B2" t="s">
        <v>43</v>
      </c>
      <c r="C2">
        <v>0.88</v>
      </c>
      <c r="D2">
        <v>28000</v>
      </c>
      <c r="E2">
        <v>2.4</v>
      </c>
      <c r="G2" t="s">
        <v>60</v>
      </c>
      <c r="H2">
        <v>0.04</v>
      </c>
      <c r="J2" t="s">
        <v>69</v>
      </c>
      <c r="K2" s="3">
        <v>4.6E-5</v>
      </c>
      <c r="L2">
        <v>45</v>
      </c>
      <c r="M2">
        <v>150</v>
      </c>
      <c r="Q2" t="str">
        <f>Données!B7</f>
        <v>Laine minérale</v>
      </c>
      <c r="S2" t="str">
        <f>Données!B11</f>
        <v>Bois déchiqueté</v>
      </c>
      <c r="U2" s="3" t="str">
        <f>Données!B10</f>
        <v>Acier #123</v>
      </c>
    </row>
    <row r="3" spans="2:21" x14ac:dyDescent="0.3">
      <c r="B3" t="s">
        <v>44</v>
      </c>
      <c r="C3">
        <v>0.94</v>
      </c>
      <c r="D3">
        <v>47000</v>
      </c>
      <c r="E3">
        <v>2.75</v>
      </c>
      <c r="G3" t="s">
        <v>61</v>
      </c>
      <c r="H3">
        <v>3.5999999999999997E-2</v>
      </c>
      <c r="J3" t="s">
        <v>70</v>
      </c>
      <c r="K3" s="3">
        <v>4.3999999999999999E-5</v>
      </c>
      <c r="L3">
        <v>42</v>
      </c>
      <c r="M3">
        <v>175</v>
      </c>
    </row>
    <row r="4" spans="2:21" x14ac:dyDescent="0.3">
      <c r="B4" t="s">
        <v>45</v>
      </c>
      <c r="C4">
        <v>0.92</v>
      </c>
      <c r="D4">
        <v>43400</v>
      </c>
      <c r="E4">
        <v>3.3</v>
      </c>
      <c r="G4" t="s">
        <v>62</v>
      </c>
      <c r="H4">
        <v>2.5000000000000001E-2</v>
      </c>
    </row>
    <row r="5" spans="2:21" x14ac:dyDescent="0.3">
      <c r="B5" t="s">
        <v>46</v>
      </c>
      <c r="C5">
        <v>0.87</v>
      </c>
      <c r="D5">
        <v>15400</v>
      </c>
      <c r="E5">
        <v>1.8</v>
      </c>
    </row>
    <row r="6" spans="2:21" x14ac:dyDescent="0.3">
      <c r="B6" t="s">
        <v>47</v>
      </c>
      <c r="C6">
        <v>0.9</v>
      </c>
      <c r="D6">
        <v>15000</v>
      </c>
      <c r="E6">
        <v>8.1000000000000003E-2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Données</vt:lpstr>
      <vt:lpstr>sim2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Philippe-Etienne Legentil</dc:creator>
  <cp:lastModifiedBy>Philippe-Etienne Legentil</cp:lastModifiedBy>
  <dcterms:created xsi:type="dcterms:W3CDTF">2024-02-16T21:12:20Z</dcterms:created>
  <dcterms:modified xsi:type="dcterms:W3CDTF">2024-03-18T18:40:22Z</dcterms:modified>
</cp:coreProperties>
</file>