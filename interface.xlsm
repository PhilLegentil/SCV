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drawings/drawing39.xml" ContentType="application/vnd.openxmlformats-officedocument.drawing+xml"/>
  <Override PartName="/xl/ctrlProps/ctrlProp39.xml" ContentType="application/vnd.ms-excel.controlproperties+xml"/>
  <Override PartName="/xl/drawings/drawing40.xml" ContentType="application/vnd.openxmlformats-officedocument.drawing+xml"/>
  <Override PartName="/xl/ctrlProps/ctrlProp40.xml" ContentType="application/vnd.ms-excel.controlproperties+xml"/>
  <Override PartName="/xl/drawings/drawing41.xml" ContentType="application/vnd.openxmlformats-officedocument.drawing+xml"/>
  <Override PartName="/xl/ctrlProps/ctrlProp41.xml" ContentType="application/vnd.ms-excel.controlproperties+xml"/>
  <Override PartName="/xl/drawings/drawing42.xml" ContentType="application/vnd.openxmlformats-officedocument.drawing+xml"/>
  <Override PartName="/xl/ctrlProps/ctrlProp4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hil\Dropbox\Poly\H2024\Projet3\logiciel\"/>
    </mc:Choice>
  </mc:AlternateContent>
  <xr:revisionPtr revIDLastSave="0" documentId="13_ncr:1_{368F987E-D85D-4E64-A30F-E70039F9B5D7}" xr6:coauthVersionLast="47" xr6:coauthVersionMax="47" xr10:uidLastSave="{00000000-0000-0000-0000-000000000000}"/>
  <bookViews>
    <workbookView xWindow="-108" yWindow="-108" windowWidth="23256" windowHeight="12720" xr2:uid="{DF4CC69A-3295-43C3-BFDC-6E754B7ADC31}"/>
  </bookViews>
  <sheets>
    <sheet name="Données" sheetId="1" r:id="rId1"/>
    <sheet name="siemens-14" sheetId="286" r:id="rId2"/>
    <sheet name="siemens-13" sheetId="285" r:id="rId3"/>
    <sheet name="siemens-12" sheetId="284" r:id="rId4"/>
    <sheet name="siemens-11" sheetId="283" r:id="rId5"/>
    <sheet name="siemens-10" sheetId="282" r:id="rId6"/>
    <sheet name="siemens-9" sheetId="281" r:id="rId7"/>
    <sheet name="siemens-8" sheetId="280" r:id="rId8"/>
    <sheet name="siemens-7" sheetId="279" r:id="rId9"/>
    <sheet name="siemens-6" sheetId="278" r:id="rId10"/>
    <sheet name="siemens-5" sheetId="277" r:id="rId11"/>
    <sheet name="siemens-4" sheetId="276" r:id="rId12"/>
    <sheet name="siemens-3" sheetId="275" r:id="rId13"/>
    <sheet name="siemens-2" sheetId="274" r:id="rId14"/>
    <sheet name="siemens-1" sheetId="273" r:id="rId15"/>
    <sheet name="siemens" sheetId="272" r:id="rId16"/>
    <sheet name="Centrale_nb1-1" sheetId="271" r:id="rId17"/>
    <sheet name="Centrale_nb1" sheetId="270" r:id="rId18"/>
    <sheet name="Centrale_nom-1" sheetId="269" r:id="rId19"/>
    <sheet name="Centrale_nom" sheetId="244" r:id="rId20"/>
    <sheet name="Centrale_nb1_hiver" sheetId="246" r:id="rId21"/>
    <sheet name="Centrale_nb1_été" sheetId="245" r:id="rId22"/>
    <sheet name="Centrale_nom_balancée-1" sheetId="243" r:id="rId23"/>
    <sheet name="Centrale_nom_balancée" sheetId="237" r:id="rId24"/>
    <sheet name="Centrale_nom_hiv_riv" sheetId="224" r:id="rId25"/>
    <sheet name="Centrale_nom_hmoyen" sheetId="205" r:id="rId26"/>
    <sheet name="Centrale_charbon_3étages" sheetId="200" r:id="rId27"/>
    <sheet name="Centrale_biomasse_0étages" sheetId="199" r:id="rId28"/>
    <sheet name="Centrale_nom_hiver" sheetId="196" r:id="rId29"/>
    <sheet name="Centrale_0etages_biom_corr-1" sheetId="184" r:id="rId30"/>
    <sheet name="Centrale_0etages_biom_corr" sheetId="182" r:id="rId31"/>
    <sheet name="Centrale_0etages_biom" sheetId="176" r:id="rId32"/>
    <sheet name="Centrale_2etages_biom" sheetId="175" r:id="rId33"/>
    <sheet name="Centrale_4etages_charb" sheetId="173" r:id="rId34"/>
    <sheet name="Centrale_hiv_sout" sheetId="171" r:id="rId35"/>
    <sheet name="Centrale_nominale_soutirage" sheetId="165" r:id="rId36"/>
    <sheet name="Centrale_hiver_soutirage" sheetId="163" r:id="rId37"/>
    <sheet name="Centrale_hiver" sheetId="159" r:id="rId38"/>
    <sheet name="Centrale_été1" sheetId="157" r:id="rId39"/>
    <sheet name="Centrale_étésec" sheetId="156" r:id="rId40"/>
    <sheet name="Centrale_étésec_soutirage" sheetId="155" r:id="rId41"/>
    <sheet name="Centrale_hiver_pas de zero" sheetId="127" r:id="rId42"/>
    <sheet name="Base de données" sheetId="2" r:id="rId4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" i="275" l="1"/>
  <c r="S2" i="2" l="1"/>
  <c r="U2" i="2"/>
  <c r="Q2" i="2"/>
</calcChain>
</file>

<file path=xl/sharedStrings.xml><?xml version="1.0" encoding="utf-8"?>
<sst xmlns="http://schemas.openxmlformats.org/spreadsheetml/2006/main" count="7236" uniqueCount="195">
  <si>
    <t>Laine minérale</t>
  </si>
  <si>
    <t>Matériau du tuyau</t>
  </si>
  <si>
    <t>Acier #123</t>
  </si>
  <si>
    <t>Type de carburant</t>
  </si>
  <si>
    <t>Bois déchiqueté</t>
  </si>
  <si>
    <t>Perte de vapeur dans la tour aéroréfrigérente</t>
  </si>
  <si>
    <t>Rendement des pompes</t>
  </si>
  <si>
    <t>Carburant</t>
  </si>
  <si>
    <t>kgCO2/kg</t>
  </si>
  <si>
    <t>Métal</t>
  </si>
  <si>
    <t>Rugosité</t>
  </si>
  <si>
    <t>Choixc</t>
  </si>
  <si>
    <t>Choixtu</t>
  </si>
  <si>
    <t>Charbon</t>
  </si>
  <si>
    <t>Cellulose</t>
  </si>
  <si>
    <t>Gaz naturel</t>
  </si>
  <si>
    <t>Acier #456</t>
  </si>
  <si>
    <t>Pétrole</t>
  </si>
  <si>
    <t>Polyuréthane</t>
  </si>
  <si>
    <t>Biomasse</t>
  </si>
  <si>
    <t>Isolant</t>
  </si>
  <si>
    <t>Rendement</t>
  </si>
  <si>
    <t>Rendement de l'alternateur</t>
  </si>
  <si>
    <t>Facteur de sécurité</t>
  </si>
  <si>
    <t>Longueur de tuyau</t>
  </si>
  <si>
    <t>Épaisseur d'isolant</t>
  </si>
  <si>
    <t>Température ambiante</t>
  </si>
  <si>
    <t>Centrale</t>
  </si>
  <si>
    <t>Données d'entrée</t>
  </si>
  <si>
    <t>Résultats</t>
  </si>
  <si>
    <t>Interpolation</t>
  </si>
  <si>
    <t>Puissance</t>
  </si>
  <si>
    <t>m</t>
  </si>
  <si>
    <t>K</t>
  </si>
  <si>
    <t>Description</t>
  </si>
  <si>
    <t>Portion de la vapeur qui est perdue dans la tour aéroréfrigérante</t>
  </si>
  <si>
    <t>Facteur de sécurité pour le dimensionnement de la tuyauterie</t>
  </si>
  <si>
    <t>Longueur de tuyau entre les étages de turbines</t>
  </si>
  <si>
    <t>Isolant pour la tuyauterie</t>
  </si>
  <si>
    <t>Épaisseur de l'isolant</t>
  </si>
  <si>
    <t>Température ambiante dans la centrale</t>
  </si>
  <si>
    <t>Turbine haute pression</t>
  </si>
  <si>
    <t>Débit de design</t>
  </si>
  <si>
    <t>Diamètre primitif</t>
  </si>
  <si>
    <t>kg/s</t>
  </si>
  <si>
    <t>mm</t>
  </si>
  <si>
    <t>Nombre d'étages de directrices</t>
  </si>
  <si>
    <t>Fraction de soutirage sortante</t>
  </si>
  <si>
    <t>Température d'entrée</t>
  </si>
  <si>
    <t>Pression d'entrée</t>
  </si>
  <si>
    <t>Pression de sortie</t>
  </si>
  <si>
    <t>Longueur des aubes</t>
  </si>
  <si>
    <t>Pression à la sortie</t>
  </si>
  <si>
    <t>Température de resurchauffe</t>
  </si>
  <si>
    <t>Nombre d'étages intermédiaires</t>
  </si>
  <si>
    <t>Turbine basse pression</t>
  </si>
  <si>
    <t>Étages intermédiaires</t>
  </si>
  <si>
    <t>kPa</t>
  </si>
  <si>
    <t>Point de désign pour le débit à l'entrée</t>
  </si>
  <si>
    <t>Diamètre à la moitié de la longueur des aubes</t>
  </si>
  <si>
    <t>La fraction de la vapeur qui est dirigée vers la resurchauffe à la sortie de l'étage</t>
  </si>
  <si>
    <t>Fraction de soutirage</t>
  </si>
  <si>
    <t>Débit rivière</t>
  </si>
  <si>
    <t>Température de la rivière</t>
  </si>
  <si>
    <t>Température de rejet</t>
  </si>
  <si>
    <t>Débit minimum</t>
  </si>
  <si>
    <t>Débit maximum</t>
  </si>
  <si>
    <t>Nombre de points de débit</t>
  </si>
  <si>
    <t>Chaudière</t>
  </si>
  <si>
    <t>Capacité d'évaporation</t>
  </si>
  <si>
    <t>Volume du ballon</t>
  </si>
  <si>
    <t>Température d'entrée de l'eau de la rivière</t>
  </si>
  <si>
    <t>Température maximale de l'eau rejetée dans la rivière</t>
  </si>
  <si>
    <t>Débit minimum de la simulation</t>
  </si>
  <si>
    <t>Débit maximum de la simulation</t>
  </si>
  <si>
    <t>Nombre de points qui seront calculés dans la simulation</t>
  </si>
  <si>
    <t>Quantité de vapeur maximale que la chaudière peut fournir</t>
  </si>
  <si>
    <t>Volume du ballon d'évaporation</t>
  </si>
  <si>
    <t>Puissance dont on veut connaître le rendement</t>
  </si>
  <si>
    <t>Valeur interpolée</t>
  </si>
  <si>
    <t>MW</t>
  </si>
  <si>
    <t>Température à laquelle la vapeur est portée avant l'entrée. Entrer 0 s'il n'y a pas de resurchauffe</t>
  </si>
  <si>
    <t>Conductivité de l'isolant [W/(mK)]</t>
  </si>
  <si>
    <t>Conductivité du métal [W/(mK)]</t>
  </si>
  <si>
    <t>Débit minimum pour l'optimisation</t>
  </si>
  <si>
    <t>Débit maximum pour l'optimisation</t>
  </si>
  <si>
    <t>Turbines</t>
  </si>
  <si>
    <t>GCV [kJ/kg]</t>
  </si>
  <si>
    <t>Choixiso</t>
  </si>
  <si>
    <t>Sy [MPa]</t>
  </si>
  <si>
    <t>Debit</t>
  </si>
  <si>
    <t>Étage 1</t>
  </si>
  <si>
    <t>Étage 2</t>
  </si>
  <si>
    <t>Étage 3</t>
  </si>
  <si>
    <t>Débit inférieur d'optimisation</t>
  </si>
  <si>
    <t>Débit supérieur d'optimisation</t>
  </si>
  <si>
    <t>Titre général de la simulation</t>
  </si>
  <si>
    <t>Titre spécifique de la simulation</t>
  </si>
  <si>
    <t>m^3</t>
  </si>
  <si>
    <t>Temps de calcul (min):</t>
  </si>
  <si>
    <t>Épaisseur de tuyau (mm)</t>
  </si>
  <si>
    <t>Diamètre interne de la tuyauterie (mm)</t>
  </si>
  <si>
    <t>Pas de resurchauffe</t>
  </si>
  <si>
    <t>Étage 4</t>
  </si>
  <si>
    <t>Débit de l'eau provenant de la rivière, qui passe dans le condenseur</t>
  </si>
  <si>
    <t>Longueur totale de tubes pour chaque réchauffeur</t>
  </si>
  <si>
    <t>Centrale_hiver</t>
  </si>
  <si>
    <t>Point diagramme TS</t>
  </si>
  <si>
    <t>pas de zero dans cet interval</t>
  </si>
  <si>
    <t>Centrale_été</t>
  </si>
  <si>
    <t>Centrale_étésec</t>
  </si>
  <si>
    <t>Centrale_étésec_soutirage</t>
  </si>
  <si>
    <t>Avertissement</t>
  </si>
  <si>
    <t xml:space="preserve">L'eau qui entre dans la chaudiere est valide pour  136.8421052631579 &lt; mdot &lt; 600.0 </t>
  </si>
  <si>
    <t xml:space="preserve">Les calculs ont été fais pour 136.84 &lt; mdot &lt; 600.0 </t>
  </si>
  <si>
    <t>z</t>
  </si>
  <si>
    <t>Centrale_hiver_soutirage</t>
  </si>
  <si>
    <t xml:space="preserve">L'eau qui entre dans la chaudiere est valide pour  310.53 &lt; mdot &lt; 600.0 </t>
  </si>
  <si>
    <t>Optimisation: Le point 200 est un point ou l'eau en entierement en vapeur, le point a ete remplace par 311</t>
  </si>
  <si>
    <t>Centrale_nominale_soutirage</t>
  </si>
  <si>
    <t xml:space="preserve">L'eau qui entre dans la chaudiere est valide pour  223.68 &lt; mdot &lt; 600.0 </t>
  </si>
  <si>
    <t>Optimisation: Le point 200 est un point ou l'eau en entierement en vapeur, le point a ete remplace par 224</t>
  </si>
  <si>
    <t>Centrale_hiv_sout</t>
  </si>
  <si>
    <t xml:space="preserve">L'eau qui entre dans la chaudiere est valide pour  165.79 &lt; mdot &lt; 600.0 </t>
  </si>
  <si>
    <t xml:space="preserve">Les calculs ont été fais pour 165.79 &lt; mdot &lt; 600.0 </t>
  </si>
  <si>
    <t>Centrale_4etages_charb</t>
  </si>
  <si>
    <t>Étage 5</t>
  </si>
  <si>
    <t>Centrale_2etages_biom</t>
  </si>
  <si>
    <t xml:space="preserve">L'eau qui entre dans la chaudiere est valide pour  78.95 &lt; mdot &lt; 600.0 </t>
  </si>
  <si>
    <t xml:space="preserve">Les calculs ont été fais pour 78.95 &lt; mdot &lt; 600.0 </t>
  </si>
  <si>
    <t>Centrale_0etages_biom</t>
  </si>
  <si>
    <t>Centrale_0etages_biom_corr</t>
  </si>
  <si>
    <t>Longueur de tuyau pour la resurchauffe entre les étages de turbines</t>
  </si>
  <si>
    <t>Isolant pour la tuyauterie de la resurchauffe</t>
  </si>
  <si>
    <t>Épaisseur de l'isolant pour la tuyauterie de la resurchauffe</t>
  </si>
  <si>
    <t>Facteur de sécurité pour le dimensionnement de la tuyauterie pour la resurchauffe</t>
  </si>
  <si>
    <t>Tuyauterie de la resurchauffe</t>
  </si>
  <si>
    <t>Température de l'eau de la rivière, utilisé pour le condenseur et l'eau d'alimentation</t>
  </si>
  <si>
    <t>Température maximale de l'eau rejetée par le condenseur dans la rivière</t>
  </si>
  <si>
    <t>Longueur des aubes au dernier étage de la turbine basse pression</t>
  </si>
  <si>
    <t>La pression de sortie est prise comme pression en entrée pour le prochain étage</t>
  </si>
  <si>
    <t>Indiquer le nombre d'étages intermédiaires présents dans la centrale</t>
  </si>
  <si>
    <t>Index du point (débit massique) pour lequel on trace le digramme TS</t>
  </si>
  <si>
    <t>Carburant exemple</t>
  </si>
  <si>
    <t>Titre de la simulation</t>
  </si>
  <si>
    <t>Titre spécifique à la simulation</t>
  </si>
  <si>
    <t>Centrale-1</t>
  </si>
  <si>
    <t>Diamètre à la moitié de la longueur des aubes au dernier étage</t>
  </si>
  <si>
    <t>Centrale_nom_hiver</t>
  </si>
  <si>
    <t>Centrale_nom</t>
  </si>
  <si>
    <t>Centrale_biomasse_0étages</t>
  </si>
  <si>
    <t>Centrale_charbon_3étages</t>
  </si>
  <si>
    <t>Centrale_nom_hmoyen</t>
  </si>
  <si>
    <t xml:space="preserve">L'eau qui entre dans la chaudiere est valide pour  270.0 &lt; mdot &lt; 600.0 </t>
  </si>
  <si>
    <t>Optimisation: Le point 200 est un point ou l'eau en entierement en vapeur, le point a ete remplace par 270</t>
  </si>
  <si>
    <t>Centrale_nom_hiv_riv</t>
  </si>
  <si>
    <t>Centrale_nom_balancée</t>
  </si>
  <si>
    <t>Centrale_nom_balancée-1</t>
  </si>
  <si>
    <t xml:space="preserve">L'eau qui entre dans la chaudiere est valide pour  50.0 &lt; mdot &lt; 855.26 </t>
  </si>
  <si>
    <t xml:space="preserve">Les calculs ont été fais pour 50.0 &lt; mdot &lt; 855.26 </t>
  </si>
  <si>
    <t>Optimisation: Le point 900 est un point ou l'eau en entierement en vapeur, le point a ete remplace par 855</t>
  </si>
  <si>
    <t>Centrale_nb1_été</t>
  </si>
  <si>
    <t>Centrale_nb1_hiver</t>
  </si>
  <si>
    <t xml:space="preserve">Les calculs ont été fais pour 139.47 &lt; mdot &lt; 900.0 </t>
  </si>
  <si>
    <t xml:space="preserve">L'eau qui entre dans la chaudiere respecte la tolérance de teneur en vapeur pour  139.47 &lt; mdot &lt; 900.0 </t>
  </si>
  <si>
    <t>Point optimal:</t>
  </si>
  <si>
    <t>Erreur</t>
  </si>
  <si>
    <t>Tuyauterie:</t>
  </si>
  <si>
    <t>Temps de calcul (sec):</t>
  </si>
  <si>
    <t>Centrale_nom-1</t>
  </si>
  <si>
    <t>Centrale_nb1</t>
  </si>
  <si>
    <t>Centrale_nb1-1</t>
  </si>
  <si>
    <t xml:space="preserve"> </t>
  </si>
  <si>
    <t xml:space="preserve">   </t>
  </si>
  <si>
    <t xml:space="preserve">L'eau qui entre dans la chaudiere respecte la tolérance de teneur en vapeur pour  50.0 &lt; mdot &lt; 855.26 </t>
  </si>
  <si>
    <t>siemens</t>
  </si>
  <si>
    <t>La température de resurchauffe pour l'étage intermédiaire 1 est plus basse que la température de sortie</t>
  </si>
  <si>
    <t>siemens-1</t>
  </si>
  <si>
    <t>siemens-2</t>
  </si>
  <si>
    <t>_HYBRID1: All of the target values appear to be out-of-bounds!</t>
  </si>
  <si>
    <t xml:space="preserve">Traceback (most recent call last):
  File "C:\Users\Phil\Dropbox\Poly\H2024\Projet3\logiciel\rankine_main.py", line 68, in &lt;module&gt;
    vapeur_chaud, int_nonvap, epaisseur, diametre, T_riv, t_graph, s_graph = travail(m_dot, data, BD)
  File "C:\Users\Phil\Dropbox\Poly\H2024\Projet3\logiciel\rankine_fct.py", line 464, in travail
    T_riv[i] = H2O.T(h=h_riviere_out, p=p_amb)
  File "C:\Users\Phil\AppData\Local\Programs\Python\Python38\lib\site-packages\pyromat\registry\mp1.py", line 3582, in T
    T,_,_,x,_ = self._argparse(*varg, **kwarg)
  File "C:\Users\Phil\AppData\Local\Programs\Python\Python38\lib\site-packages\pyromat\registry\mp1.py", line 2502, in _argparse
    self._hybrid1(
  File "C:\Users\Phil\AppData\Local\Programs\Python\Python38\lib\site-packages\pyromat\registry\mp1.py", line 1214, in _hybrid1
    raise pm.utility.PMParamError(
pyromat.utility.PMParamError: _HYBRID1: All of the target values appear to be out-of-bounds!
</t>
  </si>
  <si>
    <t>siemens-3</t>
  </si>
  <si>
    <t xml:space="preserve">Traceback (most recent call last):
  File "C:\Users\Phil\Dropbox\Poly\H2024\Projet3\logiciel\rankine_main.py", line 68, in &lt;module&gt;
    vapeur_chaud, int_nonvap, epaisseur, diametre, T_riv, t_graph, s_graph = travail(m_dot, data, BD)
  File "C:\Users\Phil\Dropbox\Poly\H2024\Projet3\logiciel\rankine_fct.py", line 464, in travail
    T_riv[i] = H2O.T(h=h_riviere_out, p=p_amb)
  File "C:\Users\Phil\AppData\Local\Programs\Python\Python38\lib\site-packages\pyromat\registry\mp1.py", line 3582, in T
    T,_,_,x,_ = self._argparse(*varg, **kwarg)
  File "C:\Users\Phil\AppData\Local\Programs\Python\Python38\lib\site-packages\pyromat\registry\mp1.py", line 2502, in _argparse
    self._hybrid1(
  File "C:\Users\Phil\AppData\Local\Programs\Python\Python38\lib\site-packages\pyromat\registry\mp1.py", line 1187, in _hybrid1
    FF = fn(diff=1, **arg)
  File "C:\Users\Phil\AppData\Local\Programs\Python\Python38\lib\site-packages\pyromat\registry\mp1.py", line 1451, in _tpiter
    d = self._d(T,p)
  File "C:\Users\Phil\AppData\Local\Programs\Python\Python38\lib\site-packages\pyromat\registry\mp1.py", line 2055, in _d
    self._hybrid1(
  File "C:\Users\Phil\AppData\Local\Programs\Python\Python38\lib\site-packages\pyromat\registry\mp1.py", line 1214, in _hybrid1
    raise pm.utility.PMParamError(
pyromat.utility.PMParamError: _HYBRID1: All of the target values appear to be out-of-bounds!
</t>
  </si>
  <si>
    <t>siemens-4</t>
  </si>
  <si>
    <t xml:space="preserve">Traceback (most recent call last):
  File "C:\Users\Phil\Dropbox\Poly\H2024\Projet3\logiciel\rankine_main.py", line 68, in &lt;module&gt;
    vapeur_chaud, int_nonvap, epaisseur, diametre, T_riv, t_graph, s_graph = travail(m_dot, data, BD)
  File "C:\Users\Phil\Dropbox\Poly\H2024\Projet3\logiciel\rankine_fct.py", line 323, in travail
    t_graph[1] = H2O.T(h=h_out[0][point_TS], p=P_out[0])
  File "C:\Users\Phil\AppData\Local\Programs\Python\Python38\lib\site-packages\pyromat\registry\mp1.py", line 3582, in T
    T,_,_,x,_ = self._argparse(*varg, **kwarg)
  File "C:\Users\Phil\AppData\Local\Programs\Python\Python38\lib\site-packages\pyromat\registry\mp1.py", line 2502, in _argparse
    self._hybrid1(
  File "C:\Users\Phil\AppData\Local\Programs\Python\Python38\lib\site-packages\pyromat\registry\mp1.py", line 1214, in _hybrid1
    raise pm.utility.PMParamError(
pyromat.utility.PMParamError: _HYBRID1: All of the target values appear to be out-of-bounds!
</t>
  </si>
  <si>
    <t>siemens-5</t>
  </si>
  <si>
    <t>siemens-6</t>
  </si>
  <si>
    <t>siemens-7</t>
  </si>
  <si>
    <t>siemens-8</t>
  </si>
  <si>
    <t>siemens-9</t>
  </si>
  <si>
    <t>siemens-10</t>
  </si>
  <si>
    <t>siemens-11</t>
  </si>
  <si>
    <t>siemens-12</t>
  </si>
  <si>
    <t>siemens-13</t>
  </si>
  <si>
    <t>siemens-14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</si>
</sst>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sz val="10"/>
      <color indexed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4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2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2" fillId="0" borderId="3" xfId="0" applyFont="1" applyBorder="1"/>
    <xf numFmtId="0" fontId="0" fillId="0" borderId="3" xfId="0" applyBorder="1"/>
    <xf numFmtId="0" fontId="0" fillId="0" borderId="1" xfId="0" applyBorder="1"/>
    <xf numFmtId="0" fontId="0" fillId="0" borderId="13" xfId="0" applyBorder="1" applyAlignment="1">
      <alignment vertical="center"/>
    </xf>
    <xf numFmtId="0" fontId="5" fillId="0" borderId="25" xfId="0" applyFont="1" applyBorder="1" applyAlignment="1">
      <alignment wrapText="1"/>
    </xf>
    <xf numFmtId="0" fontId="0" fillId="0" borderId="15" xfId="0" applyBorder="1" applyAlignment="1">
      <alignment vertical="center" wrapText="1"/>
    </xf>
    <xf numFmtId="0" fontId="0" fillId="0" borderId="8" xfId="0" applyBorder="1" applyAlignment="1">
      <alignment vertical="center"/>
    </xf>
    <xf numFmtId="0" fontId="2" fillId="0" borderId="10" xfId="0" applyFont="1" applyBorder="1" applyAlignment="1">
      <alignment vertical="center"/>
    </xf>
    <xf numFmtId="0" fontId="0" fillId="0" borderId="2" xfId="0" applyBorder="1"/>
    <xf numFmtId="0" fontId="0" fillId="0" borderId="33" xfId="0" applyBorder="1"/>
    <xf numFmtId="0" fontId="0" fillId="0" borderId="34" xfId="0" applyBorder="1"/>
    <xf numFmtId="0" fontId="5" fillId="0" borderId="30" xfId="0" applyFont="1" applyBorder="1"/>
    <xf numFmtId="0" fontId="0" fillId="0" borderId="0" xfId="0" applyProtection="1">
      <protection locked="0"/>
    </xf>
    <xf numFmtId="0" fontId="3" fillId="0" borderId="17" xfId="0" applyFont="1" applyBorder="1" applyAlignment="1" applyProtection="1">
      <alignment wrapText="1"/>
      <protection locked="0"/>
    </xf>
    <xf numFmtId="0" fontId="0" fillId="0" borderId="18" xfId="0" applyBorder="1" applyProtection="1">
      <protection locked="0"/>
    </xf>
    <xf numFmtId="0" fontId="0" fillId="0" borderId="11" xfId="0" applyBorder="1" applyProtection="1">
      <protection locked="0"/>
    </xf>
    <xf numFmtId="0" fontId="2" fillId="0" borderId="10" xfId="0" applyFont="1" applyBorder="1" applyAlignment="1" applyProtection="1">
      <alignment vertical="center"/>
      <protection locked="0"/>
    </xf>
    <xf numFmtId="0" fontId="5" fillId="0" borderId="25" xfId="0" applyFont="1" applyBorder="1" applyAlignment="1" applyProtection="1">
      <alignment wrapText="1"/>
      <protection locked="0"/>
    </xf>
    <xf numFmtId="0" fontId="2" fillId="0" borderId="21" xfId="0" applyFont="1" applyBorder="1" applyAlignment="1" applyProtection="1">
      <alignment horizontal="right" vertical="center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23" xfId="0" applyBorder="1" applyProtection="1">
      <protection locked="0"/>
    </xf>
    <xf numFmtId="0" fontId="2" fillId="0" borderId="8" xfId="0" applyFont="1" applyBorder="1" applyAlignment="1" applyProtection="1">
      <alignment vertical="center"/>
      <protection locked="0"/>
    </xf>
    <xf numFmtId="0" fontId="2" fillId="0" borderId="10" xfId="0" applyFont="1" applyBorder="1" applyAlignment="1" applyProtection="1">
      <alignment horizontal="righ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right" vertical="center"/>
      <protection locked="0"/>
    </xf>
    <xf numFmtId="0" fontId="0" fillId="0" borderId="29" xfId="0" applyBorder="1" applyAlignment="1" applyProtection="1">
      <alignment horizontal="left" vertical="center"/>
      <protection locked="0"/>
    </xf>
    <xf numFmtId="0" fontId="5" fillId="0" borderId="30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2" fillId="0" borderId="1" xfId="0" applyFont="1" applyBorder="1" applyAlignment="1">
      <alignment wrapText="1"/>
    </xf>
    <xf numFmtId="11" fontId="0" fillId="0" borderId="1" xfId="0" applyNumberFormat="1" applyBorder="1" applyAlignment="1">
      <alignment wrapText="1"/>
    </xf>
    <xf numFmtId="11" fontId="0" fillId="0" borderId="0" xfId="0" applyNumberFormat="1" applyAlignment="1">
      <alignment wrapText="1"/>
    </xf>
    <xf numFmtId="0" fontId="3" fillId="0" borderId="10" xfId="0" applyFont="1" applyBorder="1" applyAlignment="1">
      <alignment horizontal="center" wrapText="1"/>
    </xf>
    <xf numFmtId="0" fontId="0" fillId="0" borderId="13" xfId="0" applyBorder="1" applyAlignment="1">
      <alignment vertical="center" wrapText="1"/>
    </xf>
    <xf numFmtId="0" fontId="5" fillId="0" borderId="1" xfId="0" applyFont="1" applyBorder="1"/>
    <xf numFmtId="0" fontId="4" fillId="0" borderId="10" xfId="0" applyFont="1" applyBorder="1" applyAlignment="1">
      <alignment wrapText="1"/>
    </xf>
    <xf numFmtId="0" fontId="0" fillId="0" borderId="13" xfId="0" applyBorder="1"/>
    <xf numFmtId="0" fontId="5" fillId="0" borderId="1" xfId="0" applyFont="1" applyBorder="1" applyAlignment="1">
      <alignment wrapText="1"/>
    </xf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2" fillId="0" borderId="14" xfId="0" applyFont="1" applyBorder="1" applyAlignment="1">
      <alignment horizontal="right" vertical="center" wrapText="1"/>
    </xf>
    <xf numFmtId="0" fontId="0" fillId="0" borderId="15" xfId="0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0" fillId="0" borderId="20" xfId="0" applyBorder="1"/>
    <xf numFmtId="0" fontId="2" fillId="0" borderId="10" xfId="0" applyFont="1" applyBorder="1" applyAlignment="1">
      <alignment horizontal="right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7" xfId="0" applyBorder="1"/>
    <xf numFmtId="0" fontId="10" fillId="0" borderId="1" xfId="0" applyFont="1" applyBorder="1" applyAlignment="1">
      <alignment wrapText="1"/>
    </xf>
    <xf numFmtId="0" fontId="5" fillId="0" borderId="30" xfId="0" applyFont="1" applyBorder="1" applyAlignment="1">
      <alignment wrapText="1"/>
    </xf>
    <xf numFmtId="0" fontId="2" fillId="0" borderId="35" xfId="0" applyFont="1" applyBorder="1" applyAlignment="1">
      <alignment horizontal="right" vertical="center" wrapText="1"/>
    </xf>
    <xf numFmtId="0" fontId="0" fillId="0" borderId="36" xfId="0" applyBorder="1" applyAlignment="1">
      <alignment horizontal="center" vertical="center" wrapText="1"/>
    </xf>
    <xf numFmtId="0" fontId="0" fillId="2" borderId="0" xfId="0" applyFill="1"/>
    <xf numFmtId="0" fontId="5" fillId="0" borderId="16" xfId="0" applyFont="1" applyBorder="1" applyAlignment="1">
      <alignment wrapText="1"/>
    </xf>
    <xf numFmtId="0" fontId="11" fillId="0" borderId="10" xfId="0" applyFont="1" applyBorder="1" applyAlignment="1">
      <alignment horizontal="right" vertical="center" wrapText="1"/>
    </xf>
    <xf numFmtId="0" fontId="0" fillId="0" borderId="36" xfId="0" applyBorder="1" applyAlignment="1">
      <alignment wrapText="1"/>
    </xf>
    <xf numFmtId="0" fontId="3" fillId="0" borderId="17" xfId="0" applyFont="1" applyBorder="1" applyAlignment="1">
      <alignment wrapText="1"/>
    </xf>
    <xf numFmtId="0" fontId="0" fillId="0" borderId="18" xfId="0" applyBorder="1"/>
    <xf numFmtId="0" fontId="0" fillId="0" borderId="11" xfId="0" applyBorder="1"/>
    <xf numFmtId="0" fontId="2" fillId="0" borderId="21" xfId="0" applyFont="1" applyBorder="1" applyAlignment="1">
      <alignment horizontal="righ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/>
    <xf numFmtId="0" fontId="2" fillId="0" borderId="10" xfId="0" applyFont="1" applyBorder="1" applyAlignment="1">
      <alignment horizontal="right" vertical="center"/>
    </xf>
    <xf numFmtId="0" fontId="0" fillId="0" borderId="13" xfId="0" applyBorder="1" applyAlignment="1">
      <alignment horizontal="left" vertical="center"/>
    </xf>
    <xf numFmtId="0" fontId="2" fillId="0" borderId="28" xfId="0" applyFont="1" applyBorder="1" applyAlignment="1">
      <alignment horizontal="right" vertical="center"/>
    </xf>
    <xf numFmtId="0" fontId="0" fillId="0" borderId="29" xfId="0" applyBorder="1" applyAlignment="1">
      <alignment horizontal="left" vertical="center"/>
    </xf>
    <xf numFmtId="0" fontId="5" fillId="0" borderId="5" xfId="0" applyFont="1" applyBorder="1" applyAlignment="1">
      <alignment wrapText="1"/>
    </xf>
    <xf numFmtId="0" fontId="0" fillId="0" borderId="12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2" fillId="0" borderId="1" xfId="0" applyFont="1" applyBorder="1"/>
    <xf numFmtId="0" fontId="2" fillId="0" borderId="44" xfId="0" applyFont="1" applyBorder="1"/>
    <xf numFmtId="0" fontId="0" fillId="0" borderId="45" xfId="0" applyBorder="1" applyAlignment="1">
      <alignment horizontal="left" vertical="center"/>
    </xf>
    <xf numFmtId="0" fontId="5" fillId="0" borderId="43" xfId="0" applyFont="1" applyBorder="1" applyAlignment="1">
      <alignment horizontal="right" vertical="center" wrapText="1"/>
    </xf>
    <xf numFmtId="0" fontId="0" fillId="0" borderId="19" xfId="0" applyBorder="1" applyAlignment="1">
      <alignment horizontal="right" vertical="center" wrapText="1"/>
    </xf>
    <xf numFmtId="0" fontId="0" fillId="0" borderId="4" xfId="0" applyBorder="1" applyAlignment="1">
      <alignment horizontal="left" vertical="center"/>
    </xf>
    <xf numFmtId="0" fontId="1" fillId="0" borderId="19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6" xfId="0" applyFont="1" applyBorder="1" applyAlignment="1">
      <alignment horizontal="center" wrapText="1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31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0" fontId="4" fillId="0" borderId="31" xfId="0" applyFont="1" applyBorder="1" applyAlignment="1" applyProtection="1">
      <alignment horizontal="center" vertical="center"/>
    </xf>
    <xf numFmtId="0" fontId="4" fillId="0" borderId="32" xfId="0" applyFont="1" applyBorder="1" applyAlignment="1" applyProtection="1">
      <alignment horizontal="center" vertical="center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4" fillId="0" borderId="0" xfId="0" applyFont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3" fillId="0" borderId="10" xfId="0" applyFont="1" applyBorder="1" applyAlignment="1" applyProtection="1">
      <alignment horizontal="center" wrapText="1"/>
    </xf>
    <xf numFmtId="0" fontId="0" fillId="0" borderId="13" xfId="0" applyBorder="1" applyAlignment="1" applyProtection="1">
      <alignment vertical="center" wrapText="1"/>
    </xf>
    <xf numFmtId="0" fontId="5" fillId="0" borderId="1" xfId="0" applyFont="1" applyBorder="1" applyProtection="1"/>
    <xf numFmtId="0" fontId="0" fillId="0" borderId="0" xfId="0" applyProtection="1"/>
    <xf numFmtId="0" fontId="4" fillId="0" borderId="10" xfId="0" applyFont="1" applyBorder="1" applyAlignment="1" applyProtection="1">
      <alignment wrapText="1"/>
    </xf>
    <xf numFmtId="0" fontId="0" fillId="0" borderId="13" xfId="0" applyBorder="1" applyProtection="1"/>
    <xf numFmtId="0" fontId="5" fillId="0" borderId="1" xfId="0" applyFont="1" applyBorder="1" applyAlignment="1" applyProtection="1">
      <alignment wrapText="1"/>
    </xf>
    <xf numFmtId="0" fontId="1" fillId="0" borderId="0" xfId="0" applyFont="1" applyProtection="1"/>
    <xf numFmtId="0" fontId="3" fillId="0" borderId="17" xfId="0" applyFont="1" applyBorder="1" applyAlignment="1" applyProtection="1">
      <alignment wrapText="1"/>
    </xf>
    <xf numFmtId="0" fontId="0" fillId="0" borderId="18" xfId="0" applyBorder="1" applyProtection="1"/>
    <xf numFmtId="0" fontId="0" fillId="0" borderId="11" xfId="0" applyBorder="1" applyProtection="1"/>
    <xf numFmtId="0" fontId="0" fillId="0" borderId="19" xfId="0" applyBorder="1" applyAlignment="1" applyProtection="1">
      <alignment horizontal="right" vertical="center" wrapText="1"/>
    </xf>
    <xf numFmtId="0" fontId="0" fillId="0" borderId="4" xfId="0" applyBorder="1" applyAlignment="1" applyProtection="1">
      <alignment horizontal="left" vertical="center"/>
    </xf>
    <xf numFmtId="0" fontId="0" fillId="0" borderId="33" xfId="0" applyBorder="1" applyProtection="1"/>
    <xf numFmtId="0" fontId="2" fillId="0" borderId="10" xfId="0" applyFont="1" applyBorder="1" applyAlignment="1" applyProtection="1">
      <alignment vertical="center"/>
    </xf>
    <xf numFmtId="0" fontId="0" fillId="0" borderId="13" xfId="0" applyBorder="1" applyAlignment="1" applyProtection="1">
      <alignment vertical="center"/>
    </xf>
    <xf numFmtId="0" fontId="5" fillId="0" borderId="25" xfId="0" applyFont="1" applyBorder="1" applyAlignment="1" applyProtection="1">
      <alignment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10" xfId="0" applyBorder="1" applyAlignment="1" applyProtection="1">
      <alignment wrapText="1"/>
    </xf>
    <xf numFmtId="0" fontId="2" fillId="0" borderId="14" xfId="0" applyFont="1" applyBorder="1" applyAlignment="1" applyProtection="1">
      <alignment horizontal="right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11" xfId="0" applyBorder="1" applyAlignment="1" applyProtection="1">
      <alignment horizontal="center" vertical="center" wrapText="1"/>
    </xf>
    <xf numFmtId="0" fontId="0" fillId="0" borderId="1" xfId="0" applyBorder="1" applyAlignment="1" applyProtection="1">
      <alignment wrapText="1"/>
    </xf>
    <xf numFmtId="0" fontId="2" fillId="0" borderId="10" xfId="0" applyFont="1" applyBorder="1" applyAlignment="1" applyProtection="1">
      <alignment vertical="center" wrapText="1"/>
    </xf>
    <xf numFmtId="0" fontId="1" fillId="0" borderId="19" xfId="0" applyFont="1" applyBorder="1" applyAlignment="1" applyProtection="1">
      <alignment horizontal="center" vertical="center"/>
    </xf>
    <xf numFmtId="0" fontId="0" fillId="0" borderId="20" xfId="0" applyBorder="1" applyProtection="1"/>
    <xf numFmtId="0" fontId="2" fillId="0" borderId="21" xfId="0" applyFont="1" applyBorder="1" applyAlignment="1" applyProtection="1">
      <alignment horizontal="right" vertical="center"/>
    </xf>
    <xf numFmtId="0" fontId="0" fillId="0" borderId="22" xfId="0" applyBorder="1" applyAlignment="1" applyProtection="1">
      <alignment horizontal="left" vertical="center"/>
    </xf>
    <xf numFmtId="0" fontId="5" fillId="0" borderId="43" xfId="0" applyFont="1" applyBorder="1" applyAlignment="1" applyProtection="1">
      <alignment horizontal="right" vertical="center" wrapText="1"/>
    </xf>
    <xf numFmtId="0" fontId="0" fillId="0" borderId="45" xfId="0" applyBorder="1" applyAlignment="1" applyProtection="1">
      <alignment horizontal="left" vertical="center"/>
    </xf>
    <xf numFmtId="0" fontId="0" fillId="0" borderId="34" xfId="0" applyBorder="1" applyProtection="1"/>
    <xf numFmtId="0" fontId="2" fillId="0" borderId="28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5" fillId="0" borderId="30" xfId="0" applyFont="1" applyBorder="1" applyProtection="1"/>
    <xf numFmtId="0" fontId="2" fillId="0" borderId="10" xfId="0" applyFont="1" applyBorder="1" applyAlignment="1" applyProtection="1">
      <alignment horizontal="right" vertical="center" wrapText="1"/>
    </xf>
    <xf numFmtId="0" fontId="0" fillId="0" borderId="1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1" fillId="0" borderId="24" xfId="0" applyFont="1" applyBorder="1" applyAlignment="1" applyProtection="1">
      <alignment horizontal="center" vertical="center"/>
    </xf>
    <xf numFmtId="0" fontId="0" fillId="0" borderId="1" xfId="0" applyBorder="1" applyProtection="1"/>
    <xf numFmtId="0" fontId="2" fillId="0" borderId="10" xfId="0" applyFont="1" applyBorder="1" applyAlignment="1" applyProtection="1">
      <alignment horizontal="right" vertical="center"/>
    </xf>
    <xf numFmtId="0" fontId="0" fillId="0" borderId="13" xfId="0" applyBorder="1" applyAlignment="1" applyProtection="1">
      <alignment horizontal="left" vertical="center"/>
    </xf>
    <xf numFmtId="0" fontId="2" fillId="0" borderId="44" xfId="0" applyFont="1" applyBorder="1" applyProtection="1"/>
    <xf numFmtId="0" fontId="0" fillId="0" borderId="6" xfId="0" applyBorder="1" applyProtection="1"/>
    <xf numFmtId="0" fontId="1" fillId="0" borderId="26" xfId="0" applyFont="1" applyBorder="1" applyAlignment="1" applyProtection="1">
      <alignment horizontal="center" vertical="center"/>
    </xf>
    <xf numFmtId="0" fontId="0" fillId="0" borderId="27" xfId="0" applyBorder="1" applyProtection="1"/>
    <xf numFmtId="0" fontId="2" fillId="0" borderId="28" xfId="0" applyFont="1" applyBorder="1" applyAlignment="1" applyProtection="1">
      <alignment horizontal="right" vertical="center"/>
    </xf>
    <xf numFmtId="0" fontId="0" fillId="0" borderId="29" xfId="0" applyBorder="1" applyAlignment="1" applyProtection="1">
      <alignment horizontal="left" vertical="center"/>
    </xf>
    <xf numFmtId="0" fontId="5" fillId="0" borderId="30" xfId="0" applyFont="1" applyBorder="1" applyAlignment="1" applyProtection="1">
      <alignment wrapText="1"/>
    </xf>
    <xf numFmtId="0" fontId="0" fillId="0" borderId="38" xfId="0" applyBorder="1" applyProtection="1"/>
    <xf numFmtId="0" fontId="0" fillId="0" borderId="39" xfId="0" applyBorder="1" applyProtection="1"/>
    <xf numFmtId="0" fontId="0" fillId="0" borderId="40" xfId="0" applyBorder="1" applyProtection="1"/>
    <xf numFmtId="0" fontId="8" fillId="0" borderId="0" xfId="0" applyFont="1" applyAlignment="1" applyProtection="1">
      <alignment horizontal="center" wrapText="1"/>
    </xf>
    <xf numFmtId="0" fontId="8" fillId="0" borderId="6" xfId="0" applyFont="1" applyBorder="1" applyAlignment="1" applyProtection="1">
      <alignment horizontal="center" wrapText="1"/>
    </xf>
    <xf numFmtId="0" fontId="0" fillId="0" borderId="23" xfId="0" applyBorder="1" applyProtection="1"/>
    <xf numFmtId="0" fontId="0" fillId="0" borderId="37" xfId="0" applyBorder="1" applyProtection="1"/>
    <xf numFmtId="0" fontId="0" fillId="0" borderId="41" xfId="0" applyBorder="1" applyProtection="1"/>
    <xf numFmtId="0" fontId="0" fillId="0" borderId="8" xfId="0" applyBorder="1" applyProtection="1"/>
    <xf numFmtId="0" fontId="0" fillId="0" borderId="9" xfId="0" applyBorder="1" applyProtection="1"/>
    <xf numFmtId="0" fontId="0" fillId="0" borderId="5" xfId="0" applyBorder="1" applyProtection="1"/>
    <xf numFmtId="0" fontId="0" fillId="0" borderId="12" xfId="0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0" fillId="0" borderId="42" xfId="0" applyBorder="1" applyAlignment="1" applyProtection="1">
      <alignment wrapText="1"/>
    </xf>
    <xf numFmtId="0" fontId="0" fillId="0" borderId="42" xfId="0" applyBorder="1" applyProtection="1"/>
    <xf numFmtId="0" fontId="10" fillId="0" borderId="1" xfId="0" applyFont="1" applyBorder="1" applyAlignment="1" applyProtection="1">
      <alignment wrapText="1"/>
    </xf>
    <xf numFmtId="0" fontId="0" fillId="0" borderId="12" xfId="0" applyBorder="1" applyProtection="1"/>
    <xf numFmtId="0" fontId="2" fillId="0" borderId="35" xfId="0" applyFont="1" applyBorder="1" applyAlignment="1" applyProtection="1">
      <alignment horizontal="right" vertical="center" wrapText="1"/>
    </xf>
    <xf numFmtId="0" fontId="0" fillId="0" borderId="36" xfId="0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wrapText="1"/>
    </xf>
    <xf numFmtId="0" fontId="11" fillId="0" borderId="10" xfId="0" applyFont="1" applyBorder="1" applyAlignment="1" applyProtection="1">
      <alignment horizontal="right" vertical="center" wrapText="1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left"/>
    </xf>
    <xf numFmtId="0" fontId="0" fillId="2" borderId="0" xfId="0" applyFill="1" applyProtection="1"/>
    <xf numFmtId="0" fontId="9" fillId="0" borderId="0" xfId="0" applyFont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siemens-14\siemens-14h.png" TargetMode="External"/><Relationship Id="rId3" Type="http://schemas.openxmlformats.org/officeDocument/2006/relationships/image" Target="siemens-14\siemens-14c.png" TargetMode="External"/><Relationship Id="rId7" Type="http://schemas.openxmlformats.org/officeDocument/2006/relationships/image" Target="siemens-14\siemens-14g.png" TargetMode="External"/><Relationship Id="rId2" Type="http://schemas.openxmlformats.org/officeDocument/2006/relationships/image" Target="siemens-14\siemens-14b.png" TargetMode="External"/><Relationship Id="rId1" Type="http://schemas.openxmlformats.org/officeDocument/2006/relationships/image" Target="siemens-14\siemens-14a.png" TargetMode="External"/><Relationship Id="rId6" Type="http://schemas.openxmlformats.org/officeDocument/2006/relationships/image" Target="siemens-14\siemens-14f.png" TargetMode="External"/><Relationship Id="rId5" Type="http://schemas.openxmlformats.org/officeDocument/2006/relationships/image" Target="siemens-14\siemens-14e.png" TargetMode="External"/><Relationship Id="rId10" Type="http://schemas.openxmlformats.org/officeDocument/2006/relationships/image" Target="siemens-14\siemens-14j.png" TargetMode="External"/><Relationship Id="rId4" Type="http://schemas.openxmlformats.org/officeDocument/2006/relationships/image" Target="siemens-14\siemens-14d.png" TargetMode="External"/><Relationship Id="rId9" Type="http://schemas.openxmlformats.org/officeDocument/2006/relationships/image" Target="siemens-14\siemens-14i.png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siemens-13\siemens-13h.png" TargetMode="External"/><Relationship Id="rId3" Type="http://schemas.openxmlformats.org/officeDocument/2006/relationships/image" Target="siemens-13\siemens-13c.png" TargetMode="External"/><Relationship Id="rId7" Type="http://schemas.openxmlformats.org/officeDocument/2006/relationships/image" Target="siemens-13\siemens-13g.png" TargetMode="External"/><Relationship Id="rId2" Type="http://schemas.openxmlformats.org/officeDocument/2006/relationships/image" Target="siemens-13\siemens-13b.png" TargetMode="External"/><Relationship Id="rId1" Type="http://schemas.openxmlformats.org/officeDocument/2006/relationships/image" Target="siemens-13\siemens-13a.png" TargetMode="External"/><Relationship Id="rId6" Type="http://schemas.openxmlformats.org/officeDocument/2006/relationships/image" Target="siemens-13\siemens-13f.png" TargetMode="External"/><Relationship Id="rId5" Type="http://schemas.openxmlformats.org/officeDocument/2006/relationships/image" Target="siemens-13\siemens-13e.png" TargetMode="External"/><Relationship Id="rId10" Type="http://schemas.openxmlformats.org/officeDocument/2006/relationships/image" Target="siemens-13\siemens-13j.png" TargetMode="External"/><Relationship Id="rId4" Type="http://schemas.openxmlformats.org/officeDocument/2006/relationships/image" Target="siemens-13\siemens-13d.png" TargetMode="External"/><Relationship Id="rId9" Type="http://schemas.openxmlformats.org/officeDocument/2006/relationships/image" Target="siemens-13\siemens-13i.png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siemens-12\siemens-12h.png" TargetMode="External"/><Relationship Id="rId3" Type="http://schemas.openxmlformats.org/officeDocument/2006/relationships/image" Target="siemens-12\siemens-12c.png" TargetMode="External"/><Relationship Id="rId7" Type="http://schemas.openxmlformats.org/officeDocument/2006/relationships/image" Target="siemens-12\siemens-12g.png" TargetMode="External"/><Relationship Id="rId2" Type="http://schemas.openxmlformats.org/officeDocument/2006/relationships/image" Target="siemens-12\siemens-12b.png" TargetMode="External"/><Relationship Id="rId1" Type="http://schemas.openxmlformats.org/officeDocument/2006/relationships/image" Target="siemens-12\siemens-12a.png" TargetMode="External"/><Relationship Id="rId6" Type="http://schemas.openxmlformats.org/officeDocument/2006/relationships/image" Target="siemens-12\siemens-12f.png" TargetMode="External"/><Relationship Id="rId5" Type="http://schemas.openxmlformats.org/officeDocument/2006/relationships/image" Target="siemens-12\siemens-12e.png" TargetMode="External"/><Relationship Id="rId10" Type="http://schemas.openxmlformats.org/officeDocument/2006/relationships/image" Target="siemens-12\siemens-12j.png" TargetMode="External"/><Relationship Id="rId4" Type="http://schemas.openxmlformats.org/officeDocument/2006/relationships/image" Target="siemens-12\siemens-12d.png" TargetMode="External"/><Relationship Id="rId9" Type="http://schemas.openxmlformats.org/officeDocument/2006/relationships/image" Target="siemens-12\siemens-12i.png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siemens-11\siemens-11h.png" TargetMode="External"/><Relationship Id="rId3" Type="http://schemas.openxmlformats.org/officeDocument/2006/relationships/image" Target="siemens-11\siemens-11c.png" TargetMode="External"/><Relationship Id="rId7" Type="http://schemas.openxmlformats.org/officeDocument/2006/relationships/image" Target="siemens-11\siemens-11g.png" TargetMode="External"/><Relationship Id="rId2" Type="http://schemas.openxmlformats.org/officeDocument/2006/relationships/image" Target="siemens-11\siemens-11b.png" TargetMode="External"/><Relationship Id="rId1" Type="http://schemas.openxmlformats.org/officeDocument/2006/relationships/image" Target="siemens-11\siemens-11a.png" TargetMode="External"/><Relationship Id="rId6" Type="http://schemas.openxmlformats.org/officeDocument/2006/relationships/image" Target="siemens-11\siemens-11f.png" TargetMode="External"/><Relationship Id="rId5" Type="http://schemas.openxmlformats.org/officeDocument/2006/relationships/image" Target="siemens-11\siemens-11e.png" TargetMode="External"/><Relationship Id="rId10" Type="http://schemas.openxmlformats.org/officeDocument/2006/relationships/image" Target="siemens-11\siemens-11j.png" TargetMode="External"/><Relationship Id="rId4" Type="http://schemas.openxmlformats.org/officeDocument/2006/relationships/image" Target="siemens-11\siemens-11d.png" TargetMode="External"/><Relationship Id="rId9" Type="http://schemas.openxmlformats.org/officeDocument/2006/relationships/image" Target="siemens-11\siemens-11i.png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siemens-10\siemens-10h.png" TargetMode="External"/><Relationship Id="rId3" Type="http://schemas.openxmlformats.org/officeDocument/2006/relationships/image" Target="siemens-10\siemens-10c.png" TargetMode="External"/><Relationship Id="rId7" Type="http://schemas.openxmlformats.org/officeDocument/2006/relationships/image" Target="siemens-10\siemens-10g.png" TargetMode="External"/><Relationship Id="rId2" Type="http://schemas.openxmlformats.org/officeDocument/2006/relationships/image" Target="siemens-10\siemens-10b.png" TargetMode="External"/><Relationship Id="rId1" Type="http://schemas.openxmlformats.org/officeDocument/2006/relationships/image" Target="siemens-10\siemens-10a.png" TargetMode="External"/><Relationship Id="rId6" Type="http://schemas.openxmlformats.org/officeDocument/2006/relationships/image" Target="siemens-10\siemens-10f.png" TargetMode="External"/><Relationship Id="rId5" Type="http://schemas.openxmlformats.org/officeDocument/2006/relationships/image" Target="siemens-10\siemens-10e.png" TargetMode="External"/><Relationship Id="rId10" Type="http://schemas.openxmlformats.org/officeDocument/2006/relationships/image" Target="siemens-10\siemens-10j.png" TargetMode="External"/><Relationship Id="rId4" Type="http://schemas.openxmlformats.org/officeDocument/2006/relationships/image" Target="siemens-10\siemens-10d.png" TargetMode="External"/><Relationship Id="rId9" Type="http://schemas.openxmlformats.org/officeDocument/2006/relationships/image" Target="siemens-10\siemens-10i.png" TargetMode="Externa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siemens-9\siemens-9h.png" TargetMode="External"/><Relationship Id="rId3" Type="http://schemas.openxmlformats.org/officeDocument/2006/relationships/image" Target="siemens-9\siemens-9c.png" TargetMode="External"/><Relationship Id="rId7" Type="http://schemas.openxmlformats.org/officeDocument/2006/relationships/image" Target="siemens-9\siemens-9g.png" TargetMode="External"/><Relationship Id="rId2" Type="http://schemas.openxmlformats.org/officeDocument/2006/relationships/image" Target="siemens-9\siemens-9b.png" TargetMode="External"/><Relationship Id="rId1" Type="http://schemas.openxmlformats.org/officeDocument/2006/relationships/image" Target="siemens-9\siemens-9a.png" TargetMode="External"/><Relationship Id="rId6" Type="http://schemas.openxmlformats.org/officeDocument/2006/relationships/image" Target="siemens-9\siemens-9f.png" TargetMode="External"/><Relationship Id="rId5" Type="http://schemas.openxmlformats.org/officeDocument/2006/relationships/image" Target="siemens-9\siemens-9e.png" TargetMode="External"/><Relationship Id="rId10" Type="http://schemas.openxmlformats.org/officeDocument/2006/relationships/image" Target="siemens-9\siemens-9j.png" TargetMode="External"/><Relationship Id="rId4" Type="http://schemas.openxmlformats.org/officeDocument/2006/relationships/image" Target="siemens-9\siemens-9d.png" TargetMode="External"/><Relationship Id="rId9" Type="http://schemas.openxmlformats.org/officeDocument/2006/relationships/image" Target="siemens-9\siemens-9i.png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siemens-7\siemens-7h.png" TargetMode="External"/><Relationship Id="rId3" Type="http://schemas.openxmlformats.org/officeDocument/2006/relationships/image" Target="siemens-7\siemens-7c.png" TargetMode="External"/><Relationship Id="rId7" Type="http://schemas.openxmlformats.org/officeDocument/2006/relationships/image" Target="siemens-7\siemens-7g.png" TargetMode="External"/><Relationship Id="rId2" Type="http://schemas.openxmlformats.org/officeDocument/2006/relationships/image" Target="siemens-7\siemens-7b.png" TargetMode="External"/><Relationship Id="rId1" Type="http://schemas.openxmlformats.org/officeDocument/2006/relationships/image" Target="siemens-7\siemens-7a.png" TargetMode="External"/><Relationship Id="rId6" Type="http://schemas.openxmlformats.org/officeDocument/2006/relationships/image" Target="siemens-7\siemens-7f.png" TargetMode="External"/><Relationship Id="rId5" Type="http://schemas.openxmlformats.org/officeDocument/2006/relationships/image" Target="siemens-7\siemens-7e.png" TargetMode="External"/><Relationship Id="rId10" Type="http://schemas.openxmlformats.org/officeDocument/2006/relationships/image" Target="siemens-7\siemens-7j.png" TargetMode="External"/><Relationship Id="rId4" Type="http://schemas.openxmlformats.org/officeDocument/2006/relationships/image" Target="siemens-7\siemens-7d.png" TargetMode="External"/><Relationship Id="rId9" Type="http://schemas.openxmlformats.org/officeDocument/2006/relationships/image" Target="siemens-7\siemens-7i.png" TargetMode="Externa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Centrale_nb1-1\Centrale_nb1-1h.png" TargetMode="External"/><Relationship Id="rId3" Type="http://schemas.openxmlformats.org/officeDocument/2006/relationships/image" Target="Centrale_nb1-1\Centrale_nb1-1c.png" TargetMode="External"/><Relationship Id="rId7" Type="http://schemas.openxmlformats.org/officeDocument/2006/relationships/image" Target="Centrale_nb1-1\Centrale_nb1-1g.png" TargetMode="External"/><Relationship Id="rId2" Type="http://schemas.openxmlformats.org/officeDocument/2006/relationships/image" Target="Centrale_nb1-1\Centrale_nb1-1b.png" TargetMode="External"/><Relationship Id="rId1" Type="http://schemas.openxmlformats.org/officeDocument/2006/relationships/image" Target="Centrale_nb1-1\Centrale_nb1-1a.png" TargetMode="External"/><Relationship Id="rId6" Type="http://schemas.openxmlformats.org/officeDocument/2006/relationships/image" Target="Centrale_nb1-1\Centrale_nb1-1f.png" TargetMode="External"/><Relationship Id="rId5" Type="http://schemas.openxmlformats.org/officeDocument/2006/relationships/image" Target="Centrale_nb1-1\Centrale_nb1-1e.png" TargetMode="External"/><Relationship Id="rId10" Type="http://schemas.openxmlformats.org/officeDocument/2006/relationships/image" Target="Centrale_nb1-1\Centrale_nb1-1j.png" TargetMode="External"/><Relationship Id="rId4" Type="http://schemas.openxmlformats.org/officeDocument/2006/relationships/image" Target="Centrale_nb1-1\Centrale_nb1-1d.png" TargetMode="External"/><Relationship Id="rId9" Type="http://schemas.openxmlformats.org/officeDocument/2006/relationships/image" Target="Centrale_nb1-1\Centrale_nb1-1i.png" TargetMode="Externa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Centrale_nb1\Centrale_nb1h.png" TargetMode="External"/><Relationship Id="rId3" Type="http://schemas.openxmlformats.org/officeDocument/2006/relationships/image" Target="Centrale_nb1\Centrale_nb1c.png" TargetMode="External"/><Relationship Id="rId7" Type="http://schemas.openxmlformats.org/officeDocument/2006/relationships/image" Target="Centrale_nb1\Centrale_nb1g.png" TargetMode="External"/><Relationship Id="rId2" Type="http://schemas.openxmlformats.org/officeDocument/2006/relationships/image" Target="Centrale_nb1\Centrale_nb1b.png" TargetMode="External"/><Relationship Id="rId1" Type="http://schemas.openxmlformats.org/officeDocument/2006/relationships/image" Target="Centrale_nb1\Centrale_nb1a.png" TargetMode="External"/><Relationship Id="rId6" Type="http://schemas.openxmlformats.org/officeDocument/2006/relationships/image" Target="Centrale_nb1\Centrale_nb1f.png" TargetMode="External"/><Relationship Id="rId5" Type="http://schemas.openxmlformats.org/officeDocument/2006/relationships/image" Target="Centrale_nb1\Centrale_nb1e.png" TargetMode="External"/><Relationship Id="rId10" Type="http://schemas.openxmlformats.org/officeDocument/2006/relationships/image" Target="Centrale_nb1\Centrale_nb1j.png" TargetMode="External"/><Relationship Id="rId4" Type="http://schemas.openxmlformats.org/officeDocument/2006/relationships/image" Target="Centrale_nb1\Centrale_nb1d.png" TargetMode="External"/><Relationship Id="rId9" Type="http://schemas.openxmlformats.org/officeDocument/2006/relationships/image" Target="Centrale_nb1\Centrale_nb1i.png" TargetMode="Externa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Centrale_nom-1\Centrale_nom-1h.png" TargetMode="External"/><Relationship Id="rId3" Type="http://schemas.openxmlformats.org/officeDocument/2006/relationships/image" Target="Centrale_nom-1\Centrale_nom-1c.png" TargetMode="External"/><Relationship Id="rId7" Type="http://schemas.openxmlformats.org/officeDocument/2006/relationships/image" Target="Centrale_nom-1\Centrale_nom-1g.png" TargetMode="External"/><Relationship Id="rId2" Type="http://schemas.openxmlformats.org/officeDocument/2006/relationships/image" Target="Centrale_nom-1\Centrale_nom-1b.png" TargetMode="External"/><Relationship Id="rId1" Type="http://schemas.openxmlformats.org/officeDocument/2006/relationships/image" Target="Centrale_nom-1\Centrale_nom-1a.png" TargetMode="External"/><Relationship Id="rId6" Type="http://schemas.openxmlformats.org/officeDocument/2006/relationships/image" Target="Centrale_nom-1\Centrale_nom-1f.png" TargetMode="External"/><Relationship Id="rId5" Type="http://schemas.openxmlformats.org/officeDocument/2006/relationships/image" Target="Centrale_nom-1\Centrale_nom-1e.png" TargetMode="External"/><Relationship Id="rId10" Type="http://schemas.openxmlformats.org/officeDocument/2006/relationships/image" Target="Centrale_nom-1\Centrale_nom-1j.png" TargetMode="External"/><Relationship Id="rId4" Type="http://schemas.openxmlformats.org/officeDocument/2006/relationships/image" Target="Centrale_nom-1\Centrale_nom-1d.png" TargetMode="External"/><Relationship Id="rId9" Type="http://schemas.openxmlformats.org/officeDocument/2006/relationships/image" Target="Centrale_nom-1\Centrale_nom-1i.png" TargetMode="Externa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Centrale_nom\Centrale_nome.png" TargetMode="External"/><Relationship Id="rId3" Type="http://schemas.openxmlformats.org/officeDocument/2006/relationships/image" Target="Centrale_nom_&#233;tendue\Centrale_nom_&#233;tendueh.png" TargetMode="External"/><Relationship Id="rId7" Type="http://schemas.openxmlformats.org/officeDocument/2006/relationships/image" Target="Centrale_nom\Centrale_nomd.png" TargetMode="External"/><Relationship Id="rId12" Type="http://schemas.openxmlformats.org/officeDocument/2006/relationships/image" Target="Centrale_nom\Centrale_nomj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om\Centrale_nomc.png" TargetMode="External"/><Relationship Id="rId11" Type="http://schemas.openxmlformats.org/officeDocument/2006/relationships/image" Target="Centrale_nom\Centrale_nomi.png" TargetMode="External"/><Relationship Id="rId5" Type="http://schemas.openxmlformats.org/officeDocument/2006/relationships/image" Target="Centrale_nom\Centrale_nomb.png" TargetMode="External"/><Relationship Id="rId10" Type="http://schemas.openxmlformats.org/officeDocument/2006/relationships/image" Target="Centrale_nom\Centrale_nomg.png" TargetMode="External"/><Relationship Id="rId4" Type="http://schemas.openxmlformats.org/officeDocument/2006/relationships/image" Target="Centrale_nom\Centrale_noma.png" TargetMode="External"/><Relationship Id="rId9" Type="http://schemas.openxmlformats.org/officeDocument/2006/relationships/image" Target="Centrale_nom\Centrale_nomf.png" TargetMode="External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Centrale_nb1_hiver\Centrale_nb1_hiverd.png" TargetMode="External"/><Relationship Id="rId13" Type="http://schemas.openxmlformats.org/officeDocument/2006/relationships/image" Target="Centrale_nb1_hiver\Centrale_nb1_hiveri.png" TargetMode="External"/><Relationship Id="rId3" Type="http://schemas.openxmlformats.org/officeDocument/2006/relationships/image" Target="Centrale_nom_&#233;tendue\Centrale_nom_&#233;tendueh.png" TargetMode="External"/><Relationship Id="rId7" Type="http://schemas.openxmlformats.org/officeDocument/2006/relationships/image" Target="Centrale_nb1_hiver\Centrale_nb1_hiverc.png" TargetMode="External"/><Relationship Id="rId12" Type="http://schemas.openxmlformats.org/officeDocument/2006/relationships/image" Target="Centrale_nb1_hiver\Centrale_nb1_hiverh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b1_hiver\Centrale_nb1_hiverb.png" TargetMode="External"/><Relationship Id="rId11" Type="http://schemas.openxmlformats.org/officeDocument/2006/relationships/image" Target="Centrale_nb1_hiver\Centrale_nb1_hiverg.png" TargetMode="External"/><Relationship Id="rId5" Type="http://schemas.openxmlformats.org/officeDocument/2006/relationships/image" Target="Centrale_nb1_hiver\Centrale_nb1_hivera.png" TargetMode="External"/><Relationship Id="rId10" Type="http://schemas.openxmlformats.org/officeDocument/2006/relationships/image" Target="Centrale_nb1_hiver\Centrale_nb1_hiverf.png" TargetMode="External"/><Relationship Id="rId4" Type="http://schemas.openxmlformats.org/officeDocument/2006/relationships/image" Target="Centrale_nom_balanc&#233;e-1\Centrale_nom_balanc&#233;e-1h.png" TargetMode="External"/><Relationship Id="rId9" Type="http://schemas.openxmlformats.org/officeDocument/2006/relationships/image" Target="Centrale_nb1_hiver\Centrale_nb1_hivere.png" TargetMode="External"/><Relationship Id="rId14" Type="http://schemas.openxmlformats.org/officeDocument/2006/relationships/image" Target="Centrale_nb1_hiver\Centrale_nb1_hiverj.png" TargetMode="Externa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Centrale_nb1_&#233;t&#233;\Centrale_nb1_&#233;t&#233;d.png" TargetMode="External"/><Relationship Id="rId13" Type="http://schemas.openxmlformats.org/officeDocument/2006/relationships/image" Target="Centrale_nb1_&#233;t&#233;\Centrale_nb1_&#233;t&#233;i.png" TargetMode="External"/><Relationship Id="rId3" Type="http://schemas.openxmlformats.org/officeDocument/2006/relationships/image" Target="Centrale_nom_&#233;tendue\Centrale_nom_&#233;tendueh.png" TargetMode="External"/><Relationship Id="rId7" Type="http://schemas.openxmlformats.org/officeDocument/2006/relationships/image" Target="Centrale_nb1_&#233;t&#233;\Centrale_nb1_&#233;t&#233;c.png" TargetMode="External"/><Relationship Id="rId12" Type="http://schemas.openxmlformats.org/officeDocument/2006/relationships/image" Target="Centrale_nb1_&#233;t&#233;\Centrale_nb1_&#233;t&#233;h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b1_&#233;t&#233;\Centrale_nb1_&#233;t&#233;b.png" TargetMode="External"/><Relationship Id="rId11" Type="http://schemas.openxmlformats.org/officeDocument/2006/relationships/image" Target="Centrale_nb1_&#233;t&#233;\Centrale_nb1_&#233;t&#233;g.png" TargetMode="External"/><Relationship Id="rId5" Type="http://schemas.openxmlformats.org/officeDocument/2006/relationships/image" Target="Centrale_nb1_&#233;t&#233;\Centrale_nb1_&#233;t&#233;a.png" TargetMode="External"/><Relationship Id="rId10" Type="http://schemas.openxmlformats.org/officeDocument/2006/relationships/image" Target="Centrale_nb1_&#233;t&#233;\Centrale_nb1_&#233;t&#233;f.png" TargetMode="External"/><Relationship Id="rId4" Type="http://schemas.openxmlformats.org/officeDocument/2006/relationships/image" Target="Centrale_nom_balanc&#233;e-1\Centrale_nom_balanc&#233;e-1h.png" TargetMode="External"/><Relationship Id="rId9" Type="http://schemas.openxmlformats.org/officeDocument/2006/relationships/image" Target="Centrale_nb1_&#233;t&#233;\Centrale_nb1_&#233;t&#233;e.png" TargetMode="External"/><Relationship Id="rId14" Type="http://schemas.openxmlformats.org/officeDocument/2006/relationships/image" Target="Centrale_nb1_&#233;t&#233;\Centrale_nb1_&#233;t&#233;j.png" TargetMode="Externa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Centrale_nom_balanc&#233;e-1\Centrale_nom_balanc&#233;e-1e.png" TargetMode="External"/><Relationship Id="rId13" Type="http://schemas.openxmlformats.org/officeDocument/2006/relationships/image" Target="Centrale_nom_balanc&#233;e-1\Centrale_nom_balanc&#233;e-1j.png" TargetMode="External"/><Relationship Id="rId3" Type="http://schemas.openxmlformats.org/officeDocument/2006/relationships/image" Target="Centrale_nom_&#233;tendue\Centrale_nom_&#233;tendueh.png" TargetMode="External"/><Relationship Id="rId7" Type="http://schemas.openxmlformats.org/officeDocument/2006/relationships/image" Target="Centrale_nom_balanc&#233;e-1\Centrale_nom_balanc&#233;e-1d.png" TargetMode="External"/><Relationship Id="rId12" Type="http://schemas.openxmlformats.org/officeDocument/2006/relationships/image" Target="Centrale_nom_balanc&#233;e-1\Centrale_nom_balanc&#233;e-1i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om_balanc&#233;e-1\Centrale_nom_balanc&#233;e-1c.png" TargetMode="External"/><Relationship Id="rId11" Type="http://schemas.openxmlformats.org/officeDocument/2006/relationships/image" Target="Centrale_nom_balanc&#233;e-1\Centrale_nom_balanc&#233;e-1h.png" TargetMode="External"/><Relationship Id="rId5" Type="http://schemas.openxmlformats.org/officeDocument/2006/relationships/image" Target="Centrale_nom_balanc&#233;e-1\Centrale_nom_balanc&#233;e-1b.png" TargetMode="External"/><Relationship Id="rId10" Type="http://schemas.openxmlformats.org/officeDocument/2006/relationships/image" Target="Centrale_nom_balanc&#233;e-1\Centrale_nom_balanc&#233;e-1g.png" TargetMode="External"/><Relationship Id="rId4" Type="http://schemas.openxmlformats.org/officeDocument/2006/relationships/image" Target="Centrale_nom_balanc&#233;e-1\Centrale_nom_balanc&#233;e-1a.png" TargetMode="External"/><Relationship Id="rId9" Type="http://schemas.openxmlformats.org/officeDocument/2006/relationships/image" Target="Centrale_nom_balanc&#233;e-1\Centrale_nom_balanc&#233;e-1f.png" TargetMode="Externa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Centrale_nom_balanc&#233;e\Centrale_nom_balanc&#233;ef.png" TargetMode="External"/><Relationship Id="rId3" Type="http://schemas.openxmlformats.org/officeDocument/2006/relationships/image" Target="Centrale_nom_balanc&#233;e\Centrale_nom_balanc&#233;ea.png" TargetMode="External"/><Relationship Id="rId7" Type="http://schemas.openxmlformats.org/officeDocument/2006/relationships/image" Target="Centrale_nom_balanc&#233;e\Centrale_nom_balanc&#233;ee.png" TargetMode="External"/><Relationship Id="rId2" Type="http://schemas.openxmlformats.org/officeDocument/2006/relationships/image" Target="Centrale_nom_balanc&#233;e\Centrale_nom_balanc&#233;eh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om_balanc&#233;e\Centrale_nom_balanc&#233;ed.png" TargetMode="External"/><Relationship Id="rId11" Type="http://schemas.openxmlformats.org/officeDocument/2006/relationships/image" Target="Centrale_nom_balanc&#233;e\Centrale_nom_balanc&#233;ej.png" TargetMode="External"/><Relationship Id="rId5" Type="http://schemas.openxmlformats.org/officeDocument/2006/relationships/image" Target="Centrale_nom_balanc&#233;e\Centrale_nom_balanc&#233;ec.png" TargetMode="External"/><Relationship Id="rId10" Type="http://schemas.openxmlformats.org/officeDocument/2006/relationships/image" Target="Centrale_nom_balanc&#233;e\Centrale_nom_balanc&#233;ei.png" TargetMode="External"/><Relationship Id="rId4" Type="http://schemas.openxmlformats.org/officeDocument/2006/relationships/image" Target="Centrale_nom_balanc&#233;e\Centrale_nom_balanc&#233;eb.png" TargetMode="External"/><Relationship Id="rId9" Type="http://schemas.openxmlformats.org/officeDocument/2006/relationships/image" Target="Centrale_nom_balanc&#233;e\Centrale_nom_balanc&#233;eg.png" TargetMode="Externa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Centrale_nom_hiv_riv\Centrale_nom_hiv_rivg.png" TargetMode="External"/><Relationship Id="rId3" Type="http://schemas.openxmlformats.org/officeDocument/2006/relationships/image" Target="Centrale_nom_hiv_riv\Centrale_nom_hiv_rivb.png" TargetMode="External"/><Relationship Id="rId7" Type="http://schemas.openxmlformats.org/officeDocument/2006/relationships/image" Target="Centrale_nom_hiv_riv\Centrale_nom_hiv_rivf.png" TargetMode="External"/><Relationship Id="rId2" Type="http://schemas.openxmlformats.org/officeDocument/2006/relationships/image" Target="Centrale_nom_hiv_riv\Centrale_nom_hiv_riva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om_hiv_riv\Centrale_nom_hiv_rive.png" TargetMode="External"/><Relationship Id="rId11" Type="http://schemas.openxmlformats.org/officeDocument/2006/relationships/image" Target="Centrale_nom_hiv_riv\Centrale_nom_hiv_rivj.png" TargetMode="External"/><Relationship Id="rId5" Type="http://schemas.openxmlformats.org/officeDocument/2006/relationships/image" Target="Centrale_nom_hiv_riv\Centrale_nom_hiv_rivd.png" TargetMode="External"/><Relationship Id="rId10" Type="http://schemas.openxmlformats.org/officeDocument/2006/relationships/image" Target="Centrale_nom_hiv_riv\Centrale_nom_hiv_rivi.png" TargetMode="External"/><Relationship Id="rId4" Type="http://schemas.openxmlformats.org/officeDocument/2006/relationships/image" Target="Centrale_nom_hiv_riv\Centrale_nom_hiv_rivc.png" TargetMode="External"/><Relationship Id="rId9" Type="http://schemas.openxmlformats.org/officeDocument/2006/relationships/image" Target="Centrale_nom_hiv_riv\Centrale_nom_hiv_rivh.png" TargetMode="Externa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Centrale_nom_hmoyen\Centrale_nom_hmoyeng.png" TargetMode="External"/><Relationship Id="rId3" Type="http://schemas.openxmlformats.org/officeDocument/2006/relationships/image" Target="Centrale_nom_hmoyen\Centrale_nom_hmoyenb.png" TargetMode="External"/><Relationship Id="rId7" Type="http://schemas.openxmlformats.org/officeDocument/2006/relationships/image" Target="Centrale_nom_hmoyen\Centrale_nom_hmoyenf.png" TargetMode="External"/><Relationship Id="rId2" Type="http://schemas.openxmlformats.org/officeDocument/2006/relationships/image" Target="Centrale_nom_hmoyen\Centrale_nom_hmoyena.png" TargetMode="External"/><Relationship Id="rId1" Type="http://schemas.openxmlformats.org/officeDocument/2006/relationships/image" Target="Centrale_nom\Centrale_nomh.png" TargetMode="External"/><Relationship Id="rId6" Type="http://schemas.openxmlformats.org/officeDocument/2006/relationships/image" Target="Centrale_nom_hmoyen\Centrale_nom_hmoyene.png" TargetMode="External"/><Relationship Id="rId11" Type="http://schemas.openxmlformats.org/officeDocument/2006/relationships/image" Target="Centrale_nom_hmoyen\Centrale_nom_hmoyenj.png" TargetMode="External"/><Relationship Id="rId5" Type="http://schemas.openxmlformats.org/officeDocument/2006/relationships/image" Target="Centrale_nom_hmoyen\Centrale_nom_hmoyend.png" TargetMode="External"/><Relationship Id="rId10" Type="http://schemas.openxmlformats.org/officeDocument/2006/relationships/image" Target="Centrale_nom_hmoyen\Centrale_nom_hmoyeni.png" TargetMode="External"/><Relationship Id="rId4" Type="http://schemas.openxmlformats.org/officeDocument/2006/relationships/image" Target="Centrale_nom_hmoyen\Centrale_nom_hmoyenc.png" TargetMode="External"/><Relationship Id="rId9" Type="http://schemas.openxmlformats.org/officeDocument/2006/relationships/image" Target="Centrale_nom_hmoyen\Centrale_nom_hmoyenh.png" TargetMode="Externa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Centrale_charbon_3&#233;tages\Centrale_charbon_3&#233;tagesh.png" TargetMode="External"/><Relationship Id="rId3" Type="http://schemas.openxmlformats.org/officeDocument/2006/relationships/image" Target="Centrale_charbon_3&#233;tages\Centrale_charbon_3&#233;tagesc.png" TargetMode="External"/><Relationship Id="rId7" Type="http://schemas.openxmlformats.org/officeDocument/2006/relationships/image" Target="Centrale_charbon_3&#233;tages\Centrale_charbon_3&#233;tagesg.png" TargetMode="External"/><Relationship Id="rId2" Type="http://schemas.openxmlformats.org/officeDocument/2006/relationships/image" Target="Centrale_charbon_3&#233;tages\Centrale_charbon_3&#233;tagesb.png" TargetMode="External"/><Relationship Id="rId1" Type="http://schemas.openxmlformats.org/officeDocument/2006/relationships/image" Target="Centrale_charbon_3&#233;tages\Centrale_charbon_3&#233;tagesa.png" TargetMode="External"/><Relationship Id="rId6" Type="http://schemas.openxmlformats.org/officeDocument/2006/relationships/image" Target="Centrale_charbon_3&#233;tages\Centrale_charbon_3&#233;tagesf.png" TargetMode="External"/><Relationship Id="rId5" Type="http://schemas.openxmlformats.org/officeDocument/2006/relationships/image" Target="Centrale_charbon_3&#233;tages\Centrale_charbon_3&#233;tagese.png" TargetMode="External"/><Relationship Id="rId10" Type="http://schemas.openxmlformats.org/officeDocument/2006/relationships/image" Target="Centrale_charbon_3&#233;tages\Centrale_charbon_3&#233;tagesj.png" TargetMode="External"/><Relationship Id="rId4" Type="http://schemas.openxmlformats.org/officeDocument/2006/relationships/image" Target="Centrale_charbon_3&#233;tages\Centrale_charbon_3&#233;tagesd.png" TargetMode="External"/><Relationship Id="rId9" Type="http://schemas.openxmlformats.org/officeDocument/2006/relationships/image" Target="Centrale_charbon_3&#233;tages\Centrale_charbon_3&#233;tagesi.png" TargetMode="Externa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Centrale_biomasse_0&#233;tages\Centrale_biomasse_0&#233;tagesh.png" TargetMode="External"/><Relationship Id="rId3" Type="http://schemas.openxmlformats.org/officeDocument/2006/relationships/image" Target="Centrale_biomasse_0&#233;tages\Centrale_biomasse_0&#233;tagesc.png" TargetMode="External"/><Relationship Id="rId7" Type="http://schemas.openxmlformats.org/officeDocument/2006/relationships/image" Target="Centrale_biomasse_0&#233;tages\Centrale_biomasse_0&#233;tagesg.png" TargetMode="External"/><Relationship Id="rId2" Type="http://schemas.openxmlformats.org/officeDocument/2006/relationships/image" Target="Centrale_biomasse_0&#233;tages\Centrale_biomasse_0&#233;tagesb.png" TargetMode="External"/><Relationship Id="rId1" Type="http://schemas.openxmlformats.org/officeDocument/2006/relationships/image" Target="Centrale_biomasse_0&#233;tages\Centrale_biomasse_0&#233;tagesa.png" TargetMode="External"/><Relationship Id="rId6" Type="http://schemas.openxmlformats.org/officeDocument/2006/relationships/image" Target="Centrale_biomasse_0&#233;tages\Centrale_biomasse_0&#233;tagesf.png" TargetMode="External"/><Relationship Id="rId5" Type="http://schemas.openxmlformats.org/officeDocument/2006/relationships/image" Target="Centrale_biomasse_0&#233;tages\Centrale_biomasse_0&#233;tagese.png" TargetMode="External"/><Relationship Id="rId10" Type="http://schemas.openxmlformats.org/officeDocument/2006/relationships/image" Target="Centrale_biomasse_0&#233;tages\Centrale_biomasse_0&#233;tagesj.png" TargetMode="External"/><Relationship Id="rId4" Type="http://schemas.openxmlformats.org/officeDocument/2006/relationships/image" Target="Centrale_biomasse_0&#233;tages\Centrale_biomasse_0&#233;tagesd.png" TargetMode="External"/><Relationship Id="rId9" Type="http://schemas.openxmlformats.org/officeDocument/2006/relationships/image" Target="Centrale_biomasse_0&#233;tages\Centrale_biomasse_0&#233;tagesi.png" TargetMode="Externa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Centrale_nom_hiver\Centrale_nom_hiverh.png" TargetMode="External"/><Relationship Id="rId3" Type="http://schemas.openxmlformats.org/officeDocument/2006/relationships/image" Target="Centrale_nom_hiver\Centrale_nom_hiverc.png" TargetMode="External"/><Relationship Id="rId7" Type="http://schemas.openxmlformats.org/officeDocument/2006/relationships/image" Target="Centrale_nom_hiver\Centrale_nom_hiverg.png" TargetMode="External"/><Relationship Id="rId2" Type="http://schemas.openxmlformats.org/officeDocument/2006/relationships/image" Target="Centrale_nom_hiver\Centrale_nom_hiverb.png" TargetMode="External"/><Relationship Id="rId1" Type="http://schemas.openxmlformats.org/officeDocument/2006/relationships/image" Target="Centrale_nom_hiver\Centrale_nom_hivera.png" TargetMode="External"/><Relationship Id="rId6" Type="http://schemas.openxmlformats.org/officeDocument/2006/relationships/image" Target="Centrale_nom_hiver\Centrale_nom_hiverf.png" TargetMode="External"/><Relationship Id="rId5" Type="http://schemas.openxmlformats.org/officeDocument/2006/relationships/image" Target="Centrale_nom_hiver\Centrale_nom_hivere.png" TargetMode="External"/><Relationship Id="rId10" Type="http://schemas.openxmlformats.org/officeDocument/2006/relationships/image" Target="Centrale_nom_hiver\Centrale_nom_hiverj.png" TargetMode="External"/><Relationship Id="rId4" Type="http://schemas.openxmlformats.org/officeDocument/2006/relationships/image" Target="Centrale_nom_hiver\Centrale_nom_hiverd.png" TargetMode="External"/><Relationship Id="rId9" Type="http://schemas.openxmlformats.org/officeDocument/2006/relationships/image" Target="Centrale_nom_hiver\Centrale_nom_hiveri.png" TargetMode="Externa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Centrale_0etages_biom_corr\Centrale_0etages_biom_corrh.png" TargetMode="External"/><Relationship Id="rId3" Type="http://schemas.openxmlformats.org/officeDocument/2006/relationships/image" Target="Centrale_0etages_biom_corr\Centrale_0etages_biom_corrc.png" TargetMode="External"/><Relationship Id="rId7" Type="http://schemas.openxmlformats.org/officeDocument/2006/relationships/image" Target="Centrale_0etages_biom_corr\Centrale_0etages_biom_corrg.png" TargetMode="External"/><Relationship Id="rId2" Type="http://schemas.openxmlformats.org/officeDocument/2006/relationships/image" Target="Centrale_0etages_biom_corr\Centrale_0etages_biom_corrb.png" TargetMode="External"/><Relationship Id="rId1" Type="http://schemas.openxmlformats.org/officeDocument/2006/relationships/image" Target="Centrale_0etages_biom_corr\Centrale_0etages_biom_corra.png" TargetMode="External"/><Relationship Id="rId6" Type="http://schemas.openxmlformats.org/officeDocument/2006/relationships/image" Target="Centrale_0etages_biom_corr\Centrale_0etages_biom_corrf.png" TargetMode="External"/><Relationship Id="rId5" Type="http://schemas.openxmlformats.org/officeDocument/2006/relationships/image" Target="Centrale_0etages_biom_corr\Centrale_0etages_biom_corre.png" TargetMode="External"/><Relationship Id="rId10" Type="http://schemas.openxmlformats.org/officeDocument/2006/relationships/image" Target="Centrale_0etages_biom_corr\Centrale_0etages_biom_corrj.png" TargetMode="External"/><Relationship Id="rId4" Type="http://schemas.openxmlformats.org/officeDocument/2006/relationships/image" Target="Centrale_0etages_biom_corr\Centrale_0etages_biom_corrd.png" TargetMode="External"/><Relationship Id="rId9" Type="http://schemas.openxmlformats.org/officeDocument/2006/relationships/image" Target="Centrale_0etages_biom_corr\Centrale_0etages_biom_corri.png" TargetMode="Externa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Centrale_0etages_biom\Centrale_0etages_biomh.png" TargetMode="External"/><Relationship Id="rId3" Type="http://schemas.openxmlformats.org/officeDocument/2006/relationships/image" Target="Centrale_0etages_biom\Centrale_0etages_biomc.png" TargetMode="External"/><Relationship Id="rId7" Type="http://schemas.openxmlformats.org/officeDocument/2006/relationships/image" Target="Centrale_0etages_biom\Centrale_0etages_biomg.png" TargetMode="External"/><Relationship Id="rId2" Type="http://schemas.openxmlformats.org/officeDocument/2006/relationships/image" Target="Centrale_0etages_biom\Centrale_0etages_biomb.png" TargetMode="External"/><Relationship Id="rId1" Type="http://schemas.openxmlformats.org/officeDocument/2006/relationships/image" Target="Centrale_0etages_biom\Centrale_0etages_bioma.png" TargetMode="External"/><Relationship Id="rId6" Type="http://schemas.openxmlformats.org/officeDocument/2006/relationships/image" Target="Centrale_0etages_biom\Centrale_0etages_biomf.png" TargetMode="External"/><Relationship Id="rId5" Type="http://schemas.openxmlformats.org/officeDocument/2006/relationships/image" Target="Centrale_0etages_biom\Centrale_0etages_biome.png" TargetMode="External"/><Relationship Id="rId10" Type="http://schemas.openxmlformats.org/officeDocument/2006/relationships/image" Target="Centrale_0etages_biom\Centrale_0etages_biomj.png" TargetMode="External"/><Relationship Id="rId4" Type="http://schemas.openxmlformats.org/officeDocument/2006/relationships/image" Target="Centrale_0etages_biom\Centrale_0etages_biomd.png" TargetMode="External"/><Relationship Id="rId9" Type="http://schemas.openxmlformats.org/officeDocument/2006/relationships/image" Target="Centrale_0etages_biom\Centrale_0etages_biomi.png" TargetMode="Externa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Centrale_2etages_biom\Centrale_2etages_biomh.png" TargetMode="External"/><Relationship Id="rId3" Type="http://schemas.openxmlformats.org/officeDocument/2006/relationships/image" Target="Centrale_2etages_biom\Centrale_2etages_biomc.png" TargetMode="External"/><Relationship Id="rId7" Type="http://schemas.openxmlformats.org/officeDocument/2006/relationships/image" Target="Centrale_2etages_biom\Centrale_2etages_biomg.png" TargetMode="External"/><Relationship Id="rId2" Type="http://schemas.openxmlformats.org/officeDocument/2006/relationships/image" Target="Centrale_2etages_biom\Centrale_2etages_biomb.png" TargetMode="External"/><Relationship Id="rId1" Type="http://schemas.openxmlformats.org/officeDocument/2006/relationships/image" Target="Centrale_2etages_biom\Centrale_2etages_bioma.png" TargetMode="External"/><Relationship Id="rId6" Type="http://schemas.openxmlformats.org/officeDocument/2006/relationships/image" Target="Centrale_2etages_biom\Centrale_2etages_biomf.png" TargetMode="External"/><Relationship Id="rId5" Type="http://schemas.openxmlformats.org/officeDocument/2006/relationships/image" Target="Centrale_2etages_biom\Centrale_2etages_biome.png" TargetMode="External"/><Relationship Id="rId10" Type="http://schemas.openxmlformats.org/officeDocument/2006/relationships/image" Target="Centrale_2etages_biom\Centrale_2etages_biomj.png" TargetMode="External"/><Relationship Id="rId4" Type="http://schemas.openxmlformats.org/officeDocument/2006/relationships/image" Target="Centrale_2etages_biom\Centrale_2etages_biomd.png" TargetMode="External"/><Relationship Id="rId9" Type="http://schemas.openxmlformats.org/officeDocument/2006/relationships/image" Target="Centrale_2etages_biom\Centrale_2etages_biomi.png" TargetMode="External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Centrale_4etages_charb\Centrale_4etages_charbh.png" TargetMode="External"/><Relationship Id="rId3" Type="http://schemas.openxmlformats.org/officeDocument/2006/relationships/image" Target="Centrale_4etages_charb\Centrale_4etages_charbc.png" TargetMode="External"/><Relationship Id="rId7" Type="http://schemas.openxmlformats.org/officeDocument/2006/relationships/image" Target="Centrale_4etages_charb\Centrale_4etages_charbg.png" TargetMode="External"/><Relationship Id="rId2" Type="http://schemas.openxmlformats.org/officeDocument/2006/relationships/image" Target="Centrale_4etages_charb\Centrale_4etages_charbb.png" TargetMode="External"/><Relationship Id="rId1" Type="http://schemas.openxmlformats.org/officeDocument/2006/relationships/image" Target="Centrale_4etages_charb\Centrale_4etages_charba.png" TargetMode="External"/><Relationship Id="rId6" Type="http://schemas.openxmlformats.org/officeDocument/2006/relationships/image" Target="Centrale_4etages_charb\Centrale_4etages_charbf.png" TargetMode="External"/><Relationship Id="rId5" Type="http://schemas.openxmlformats.org/officeDocument/2006/relationships/image" Target="Centrale_4etages_charb\Centrale_4etages_charbe.png" TargetMode="External"/><Relationship Id="rId10" Type="http://schemas.openxmlformats.org/officeDocument/2006/relationships/image" Target="Centrale_4etages_charb\Centrale_4etages_charbj.png" TargetMode="External"/><Relationship Id="rId4" Type="http://schemas.openxmlformats.org/officeDocument/2006/relationships/image" Target="Centrale_4etages_charb\Centrale_4etages_charbd.png" TargetMode="External"/><Relationship Id="rId9" Type="http://schemas.openxmlformats.org/officeDocument/2006/relationships/image" Target="Centrale_4etages_charb\Centrale_4etages_charbi.png" TargetMode="External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Centrale_hiv_sout\Centrale_hiv_south.png" TargetMode="External"/><Relationship Id="rId3" Type="http://schemas.openxmlformats.org/officeDocument/2006/relationships/image" Target="Centrale_hiv_sout\Centrale_hiv_soutc.png" TargetMode="External"/><Relationship Id="rId7" Type="http://schemas.openxmlformats.org/officeDocument/2006/relationships/image" Target="Centrale_hiv_sout\Centrale_hiv_soutg.png" TargetMode="External"/><Relationship Id="rId2" Type="http://schemas.openxmlformats.org/officeDocument/2006/relationships/image" Target="Centrale_hiv_sout\Centrale_hiv_soutb.png" TargetMode="External"/><Relationship Id="rId1" Type="http://schemas.openxmlformats.org/officeDocument/2006/relationships/image" Target="Centrale_hiv_sout\Centrale_hiv_souta.png" TargetMode="External"/><Relationship Id="rId6" Type="http://schemas.openxmlformats.org/officeDocument/2006/relationships/image" Target="Centrale_hiv_sout\Centrale_hiv_soutf.png" TargetMode="External"/><Relationship Id="rId5" Type="http://schemas.openxmlformats.org/officeDocument/2006/relationships/image" Target="Centrale_hiv_sout\Centrale_hiv_soute.png" TargetMode="External"/><Relationship Id="rId10" Type="http://schemas.openxmlformats.org/officeDocument/2006/relationships/image" Target="Centrale_hiv_sout\Centrale_hiv_soutj.png" TargetMode="External"/><Relationship Id="rId4" Type="http://schemas.openxmlformats.org/officeDocument/2006/relationships/image" Target="Centrale_hiv_sout\Centrale_hiv_soutd.png" TargetMode="External"/><Relationship Id="rId9" Type="http://schemas.openxmlformats.org/officeDocument/2006/relationships/image" Target="Centrale_hiv_sout\Centrale_hiv_souti.png" TargetMode="External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Centrale_nominale_soutirage\Centrale_nominale_soutirageh.png" TargetMode="External"/><Relationship Id="rId3" Type="http://schemas.openxmlformats.org/officeDocument/2006/relationships/image" Target="Centrale_nominale_soutirage\Centrale_nominale_soutiragec.png" TargetMode="External"/><Relationship Id="rId7" Type="http://schemas.openxmlformats.org/officeDocument/2006/relationships/image" Target="Centrale_nominale_soutirage\Centrale_nominale_soutirageg.png" TargetMode="External"/><Relationship Id="rId2" Type="http://schemas.openxmlformats.org/officeDocument/2006/relationships/image" Target="Centrale_nominale_soutirage\Centrale_nominale_soutirageb.png" TargetMode="External"/><Relationship Id="rId1" Type="http://schemas.openxmlformats.org/officeDocument/2006/relationships/image" Target="Centrale_nominale_soutirage\Centrale_nominale_soutiragea.png" TargetMode="External"/><Relationship Id="rId6" Type="http://schemas.openxmlformats.org/officeDocument/2006/relationships/image" Target="Centrale_nominale_soutirage\Centrale_nominale_soutiragef.png" TargetMode="External"/><Relationship Id="rId5" Type="http://schemas.openxmlformats.org/officeDocument/2006/relationships/image" Target="Centrale_nominale_soutirage\Centrale_nominale_soutiragee.png" TargetMode="External"/><Relationship Id="rId10" Type="http://schemas.openxmlformats.org/officeDocument/2006/relationships/image" Target="Centrale_nominale_soutirage\Centrale_nominale_soutiragej.png" TargetMode="External"/><Relationship Id="rId4" Type="http://schemas.openxmlformats.org/officeDocument/2006/relationships/image" Target="Centrale_nominale_soutirage\Centrale_nominale_soutiraged.png" TargetMode="External"/><Relationship Id="rId9" Type="http://schemas.openxmlformats.org/officeDocument/2006/relationships/image" Target="Centrale_nominale_soutirage\Centrale_nominale_soutiragei.png" TargetMode="External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image" Target="Centrale_hiver_soutirage\Centrale_hiver_soutirageh.png" TargetMode="External"/><Relationship Id="rId3" Type="http://schemas.openxmlformats.org/officeDocument/2006/relationships/image" Target="Centrale_hiver_soutirage\Centrale_hiver_soutiragec.png" TargetMode="External"/><Relationship Id="rId7" Type="http://schemas.openxmlformats.org/officeDocument/2006/relationships/image" Target="Centrale_hiver_soutirage\Centrale_hiver_soutirageg.png" TargetMode="External"/><Relationship Id="rId2" Type="http://schemas.openxmlformats.org/officeDocument/2006/relationships/image" Target="Centrale_hiver_soutirage\Centrale_hiver_soutirageb.png" TargetMode="External"/><Relationship Id="rId1" Type="http://schemas.openxmlformats.org/officeDocument/2006/relationships/image" Target="Centrale_hiver_soutirage\Centrale_hiver_soutiragea.png" TargetMode="External"/><Relationship Id="rId6" Type="http://schemas.openxmlformats.org/officeDocument/2006/relationships/image" Target="Centrale_hiver_soutirage\Centrale_hiver_soutiragef.png" TargetMode="External"/><Relationship Id="rId5" Type="http://schemas.openxmlformats.org/officeDocument/2006/relationships/image" Target="Centrale_hiver_soutirage\Centrale_hiver_soutiragee.png" TargetMode="External"/><Relationship Id="rId10" Type="http://schemas.openxmlformats.org/officeDocument/2006/relationships/image" Target="Centrale_hiver_soutirage\Centrale_hiver_soutiragej.png" TargetMode="External"/><Relationship Id="rId4" Type="http://schemas.openxmlformats.org/officeDocument/2006/relationships/image" Target="Centrale_hiver_soutirage\Centrale_hiver_soutiraged.png" TargetMode="External"/><Relationship Id="rId9" Type="http://schemas.openxmlformats.org/officeDocument/2006/relationships/image" Target="Centrale_hiver_soutirage\Centrale_hiver_soutiragei.png" TargetMode="External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Centrale_hiver\Centrale_hiverh.png" TargetMode="External"/><Relationship Id="rId3" Type="http://schemas.openxmlformats.org/officeDocument/2006/relationships/image" Target="Centrale_hiver\Centrale_hiverc.png" TargetMode="External"/><Relationship Id="rId7" Type="http://schemas.openxmlformats.org/officeDocument/2006/relationships/image" Target="Centrale_hiver\Centrale_hiverg.png" TargetMode="External"/><Relationship Id="rId2" Type="http://schemas.openxmlformats.org/officeDocument/2006/relationships/image" Target="Centrale_hiver\Centrale_hiverb.png" TargetMode="External"/><Relationship Id="rId1" Type="http://schemas.openxmlformats.org/officeDocument/2006/relationships/image" Target="Centrale_hiver\Centrale_hivera.png" TargetMode="External"/><Relationship Id="rId6" Type="http://schemas.openxmlformats.org/officeDocument/2006/relationships/image" Target="Centrale_hiver\Centrale_hiverf.png" TargetMode="External"/><Relationship Id="rId5" Type="http://schemas.openxmlformats.org/officeDocument/2006/relationships/image" Target="Centrale_hiver\Centrale_hivere.png" TargetMode="External"/><Relationship Id="rId10" Type="http://schemas.openxmlformats.org/officeDocument/2006/relationships/image" Target="Centrale_hiver\Centrale_hiverj.png" TargetMode="External"/><Relationship Id="rId4" Type="http://schemas.openxmlformats.org/officeDocument/2006/relationships/image" Target="Centrale_hiver\Centrale_hiverd.png" TargetMode="External"/><Relationship Id="rId9" Type="http://schemas.openxmlformats.org/officeDocument/2006/relationships/image" Target="Centrale_hiver\Centrale_hiveri.png" TargetMode="External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image" Target="Centrale_&#233;t&#233;\Centrale_&#233;t&#233;h.png" TargetMode="External"/><Relationship Id="rId3" Type="http://schemas.openxmlformats.org/officeDocument/2006/relationships/image" Target="Centrale_&#233;t&#233;\Centrale_&#233;t&#233;c.png" TargetMode="External"/><Relationship Id="rId7" Type="http://schemas.openxmlformats.org/officeDocument/2006/relationships/image" Target="Centrale_&#233;t&#233;\Centrale_&#233;t&#233;g.png" TargetMode="External"/><Relationship Id="rId2" Type="http://schemas.openxmlformats.org/officeDocument/2006/relationships/image" Target="Centrale_&#233;t&#233;\Centrale_&#233;t&#233;b.png" TargetMode="External"/><Relationship Id="rId1" Type="http://schemas.openxmlformats.org/officeDocument/2006/relationships/image" Target="Centrale_&#233;t&#233;\Centrale_&#233;t&#233;a.png" TargetMode="External"/><Relationship Id="rId6" Type="http://schemas.openxmlformats.org/officeDocument/2006/relationships/image" Target="Centrale_&#233;t&#233;\Centrale_&#233;t&#233;f.png" TargetMode="External"/><Relationship Id="rId5" Type="http://schemas.openxmlformats.org/officeDocument/2006/relationships/image" Target="Centrale_&#233;t&#233;\Centrale_&#233;t&#233;e.png" TargetMode="External"/><Relationship Id="rId10" Type="http://schemas.openxmlformats.org/officeDocument/2006/relationships/image" Target="Centrale_&#233;t&#233;\Centrale_&#233;t&#233;j.png" TargetMode="External"/><Relationship Id="rId4" Type="http://schemas.openxmlformats.org/officeDocument/2006/relationships/image" Target="Centrale_&#233;t&#233;\Centrale_&#233;t&#233;d.png" TargetMode="External"/><Relationship Id="rId9" Type="http://schemas.openxmlformats.org/officeDocument/2006/relationships/image" Target="Centrale_&#233;t&#233;\Centrale_&#233;t&#233;i.png" TargetMode="External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image" Target="Centrale_&#233;t&#233;sec\Centrale_&#233;t&#233;sech.png" TargetMode="External"/><Relationship Id="rId3" Type="http://schemas.openxmlformats.org/officeDocument/2006/relationships/image" Target="Centrale_&#233;t&#233;sec\Centrale_&#233;t&#233;secc.png" TargetMode="External"/><Relationship Id="rId7" Type="http://schemas.openxmlformats.org/officeDocument/2006/relationships/image" Target="Centrale_&#233;t&#233;sec\Centrale_&#233;t&#233;secg.png" TargetMode="External"/><Relationship Id="rId2" Type="http://schemas.openxmlformats.org/officeDocument/2006/relationships/image" Target="Centrale_&#233;t&#233;sec\Centrale_&#233;t&#233;secb.png" TargetMode="External"/><Relationship Id="rId1" Type="http://schemas.openxmlformats.org/officeDocument/2006/relationships/image" Target="Centrale_&#233;t&#233;sec\Centrale_&#233;t&#233;seca.png" TargetMode="External"/><Relationship Id="rId6" Type="http://schemas.openxmlformats.org/officeDocument/2006/relationships/image" Target="Centrale_&#233;t&#233;sec\Centrale_&#233;t&#233;secf.png" TargetMode="External"/><Relationship Id="rId5" Type="http://schemas.openxmlformats.org/officeDocument/2006/relationships/image" Target="Centrale_&#233;t&#233;sec\Centrale_&#233;t&#233;sece.png" TargetMode="External"/><Relationship Id="rId10" Type="http://schemas.openxmlformats.org/officeDocument/2006/relationships/image" Target="Centrale_&#233;t&#233;sec\Centrale_&#233;t&#233;secj.png" TargetMode="External"/><Relationship Id="rId4" Type="http://schemas.openxmlformats.org/officeDocument/2006/relationships/image" Target="Centrale_&#233;t&#233;sec\Centrale_&#233;t&#233;secd.png" TargetMode="External"/><Relationship Id="rId9" Type="http://schemas.openxmlformats.org/officeDocument/2006/relationships/image" Target="Centrale_&#233;t&#233;sec\Centrale_&#233;t&#233;seci.png" TargetMode="External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Centrale_&#233;t&#233;sec_soutirage\Centrale_&#233;t&#233;sec_soutirageh.png" TargetMode="External"/><Relationship Id="rId3" Type="http://schemas.openxmlformats.org/officeDocument/2006/relationships/image" Target="Centrale_&#233;t&#233;sec_soutirage\Centrale_&#233;t&#233;sec_soutiragec.png" TargetMode="External"/><Relationship Id="rId7" Type="http://schemas.openxmlformats.org/officeDocument/2006/relationships/image" Target="Centrale_&#233;t&#233;sec_soutirage\Centrale_&#233;t&#233;sec_soutirageg.png" TargetMode="External"/><Relationship Id="rId2" Type="http://schemas.openxmlformats.org/officeDocument/2006/relationships/image" Target="Centrale_&#233;t&#233;sec_soutirage\Centrale_&#233;t&#233;sec_soutirageb.png" TargetMode="External"/><Relationship Id="rId1" Type="http://schemas.openxmlformats.org/officeDocument/2006/relationships/image" Target="Centrale_&#233;t&#233;sec_soutirage\Centrale_&#233;t&#233;sec_soutiragea.png" TargetMode="External"/><Relationship Id="rId6" Type="http://schemas.openxmlformats.org/officeDocument/2006/relationships/image" Target="Centrale_&#233;t&#233;sec_soutirage\Centrale_&#233;t&#233;sec_soutiragef.png" TargetMode="External"/><Relationship Id="rId5" Type="http://schemas.openxmlformats.org/officeDocument/2006/relationships/image" Target="Centrale_&#233;t&#233;sec_soutirage\Centrale_&#233;t&#233;sec_soutiragee.png" TargetMode="External"/><Relationship Id="rId10" Type="http://schemas.openxmlformats.org/officeDocument/2006/relationships/image" Target="Centrale_&#233;t&#233;sec_soutirage\Centrale_&#233;t&#233;sec_soutiragej.png" TargetMode="External"/><Relationship Id="rId4" Type="http://schemas.openxmlformats.org/officeDocument/2006/relationships/image" Target="Centrale_&#233;t&#233;sec_soutirage\Centrale_&#233;t&#233;sec_soutiraged.png" TargetMode="External"/><Relationship Id="rId9" Type="http://schemas.openxmlformats.org/officeDocument/2006/relationships/image" Target="Centrale_&#233;t&#233;sec_soutirage\Centrale_&#233;t&#233;sec_soutiragei.png" TargetMode="External"/></Relationships>
</file>

<file path=xl/drawings/_rels/drawing42.xml.rels><?xml version="1.0" encoding="UTF-8" standalone="yes"?>
<Relationships xmlns="http://schemas.openxmlformats.org/package/2006/relationships"><Relationship Id="rId8" Type="http://schemas.openxmlformats.org/officeDocument/2006/relationships/image" Target="Centrale_hiver\Centrale_hiverh.png" TargetMode="External"/><Relationship Id="rId3" Type="http://schemas.openxmlformats.org/officeDocument/2006/relationships/image" Target="Centrale_hiver\Centrale_hiverc.png" TargetMode="External"/><Relationship Id="rId7" Type="http://schemas.openxmlformats.org/officeDocument/2006/relationships/image" Target="Centrale_hiver\Centrale_hiverg.png" TargetMode="External"/><Relationship Id="rId2" Type="http://schemas.openxmlformats.org/officeDocument/2006/relationships/image" Target="Centrale_hiver\Centrale_hiverb.png" TargetMode="External"/><Relationship Id="rId1" Type="http://schemas.openxmlformats.org/officeDocument/2006/relationships/image" Target="Centrale_hiver\Centrale_hivera.png" TargetMode="External"/><Relationship Id="rId6" Type="http://schemas.openxmlformats.org/officeDocument/2006/relationships/image" Target="Centrale_hiver\Centrale_hiverf.png" TargetMode="External"/><Relationship Id="rId5" Type="http://schemas.openxmlformats.org/officeDocument/2006/relationships/image" Target="Centrale_hiver\Centrale_hivere.png" TargetMode="External"/><Relationship Id="rId10" Type="http://schemas.openxmlformats.org/officeDocument/2006/relationships/image" Target="Centrale_hiver\Centrale_hiverj.png" TargetMode="External"/><Relationship Id="rId4" Type="http://schemas.openxmlformats.org/officeDocument/2006/relationships/image" Target="Centrale_hiver\Centrale_hiverd.png" TargetMode="External"/><Relationship Id="rId9" Type="http://schemas.openxmlformats.org/officeDocument/2006/relationships/image" Target="Centrale_hiver\Centrale_hiveri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3</xdr:row>
          <xdr:rowOff>76200</xdr:rowOff>
        </xdr:from>
        <xdr:to>
          <xdr:col>6</xdr:col>
          <xdr:colOff>1333500</xdr:colOff>
          <xdr:row>4</xdr:row>
          <xdr:rowOff>396240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Démarrer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508930" name="interp button" hidden="1">
              <a:extLst>
                <a:ext uri="{63B3BB69-23CF-44E3-9099-C40C66FF867C}">
                  <a14:compatExt spid="_x0000_s508930"/>
                </a:ext>
                <a:ext uri="{FF2B5EF4-FFF2-40B4-BE49-F238E27FC236}">
                  <a16:creationId xmlns:a16="http://schemas.microsoft.com/office/drawing/2014/main" id="{AAA8383E-BC1C-FDA2-A253-2FFFCFD9B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12</xdr:row>
      <xdr:rowOff>0</xdr:rowOff>
    </xdr:from>
    <xdr:to>
      <xdr:col>5</xdr:col>
      <xdr:colOff>86182</xdr:colOff>
      <xdr:row>26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1A7AED4-3B99-4C8D-5E95-65B022E0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381500"/>
          <a:ext cx="592310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5</xdr:col>
      <xdr:colOff>86182</xdr:colOff>
      <xdr:row>59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FD4740F-C9D0-8AA8-9F17-5E82AE850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805160"/>
          <a:ext cx="592310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1</xdr:rowOff>
    </xdr:from>
    <xdr:to>
      <xdr:col>5</xdr:col>
      <xdr:colOff>86182</xdr:colOff>
      <xdr:row>84</xdr:row>
      <xdr:rowOff>86361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F37F656-D922-A921-F0A9-E15F261BB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758161"/>
          <a:ext cx="592310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1</xdr:rowOff>
    </xdr:from>
    <xdr:to>
      <xdr:col>5</xdr:col>
      <xdr:colOff>86182</xdr:colOff>
      <xdr:row>109</xdr:row>
      <xdr:rowOff>86361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DC5BF7D-47FD-0329-46CA-7F7FD716C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711161"/>
          <a:ext cx="592310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112</xdr:row>
      <xdr:rowOff>1</xdr:rowOff>
    </xdr:from>
    <xdr:to>
      <xdr:col>5</xdr:col>
      <xdr:colOff>86182</xdr:colOff>
      <xdr:row>134</xdr:row>
      <xdr:rowOff>86361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22A202E-05C9-105A-08A2-BF5022914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664161"/>
          <a:ext cx="592310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</xdr:rowOff>
    </xdr:from>
    <xdr:to>
      <xdr:col>5</xdr:col>
      <xdr:colOff>86182</xdr:colOff>
      <xdr:row>159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ED25B36-8671-883F-1A19-5F9A08D0D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617161"/>
          <a:ext cx="592310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</xdr:rowOff>
    </xdr:from>
    <xdr:to>
      <xdr:col>5</xdr:col>
      <xdr:colOff>86182</xdr:colOff>
      <xdr:row>184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7ABE3BD-D82C-DA12-C711-D973BAF38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570161"/>
          <a:ext cx="5923102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954862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D41587D-A79B-9453-D0A2-618EED3D9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2310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1</xdr:rowOff>
    </xdr:from>
    <xdr:to>
      <xdr:col>5</xdr:col>
      <xdr:colOff>86182</xdr:colOff>
      <xdr:row>209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0BB9799-4E81-127D-C3F4-83A1883C9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523161"/>
          <a:ext cx="592310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1</xdr:rowOff>
    </xdr:from>
    <xdr:to>
      <xdr:col>5</xdr:col>
      <xdr:colOff>86182</xdr:colOff>
      <xdr:row>234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2908945-DE9D-7C1D-A7CA-E3DD81131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476161"/>
          <a:ext cx="5923102" cy="4445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507906" name="interp button" hidden="1">
              <a:extLst>
                <a:ext uri="{63B3BB69-23CF-44E3-9099-C40C66FF867C}">
                  <a14:compatExt spid="_x0000_s507906"/>
                </a:ext>
                <a:ext uri="{FF2B5EF4-FFF2-40B4-BE49-F238E27FC236}">
                  <a16:creationId xmlns:a16="http://schemas.microsoft.com/office/drawing/2014/main" id="{B3758D5D-F0D5-310B-E704-E833682BAC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12</xdr:row>
      <xdr:rowOff>0</xdr:rowOff>
    </xdr:from>
    <xdr:to>
      <xdr:col>5</xdr:col>
      <xdr:colOff>78529</xdr:colOff>
      <xdr:row>26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5061B35-AAE7-8C34-31DE-6902AACD4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381500"/>
          <a:ext cx="5915449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5</xdr:col>
      <xdr:colOff>78529</xdr:colOff>
      <xdr:row>59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ABCB36B-E5E2-475D-F1F6-9EB72E211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805160"/>
          <a:ext cx="5915449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1</xdr:rowOff>
    </xdr:from>
    <xdr:to>
      <xdr:col>5</xdr:col>
      <xdr:colOff>78529</xdr:colOff>
      <xdr:row>84</xdr:row>
      <xdr:rowOff>86361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47C8C05-DB3A-FDA3-BE78-F8F4B8D0D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758161"/>
          <a:ext cx="5915449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1</xdr:rowOff>
    </xdr:from>
    <xdr:to>
      <xdr:col>5</xdr:col>
      <xdr:colOff>78529</xdr:colOff>
      <xdr:row>109</xdr:row>
      <xdr:rowOff>86361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5B242C9-EC72-1893-7556-1AEE88FC3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711161"/>
          <a:ext cx="5915449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112</xdr:row>
      <xdr:rowOff>1</xdr:rowOff>
    </xdr:from>
    <xdr:to>
      <xdr:col>5</xdr:col>
      <xdr:colOff>78529</xdr:colOff>
      <xdr:row>134</xdr:row>
      <xdr:rowOff>86361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4F56DE8-DD5B-FAE1-01FE-36B8B31D0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664161"/>
          <a:ext cx="5915449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</xdr:rowOff>
    </xdr:from>
    <xdr:to>
      <xdr:col>5</xdr:col>
      <xdr:colOff>78529</xdr:colOff>
      <xdr:row>159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888F74D-8B6D-6A9E-8230-446F021EA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617161"/>
          <a:ext cx="5915449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</xdr:rowOff>
    </xdr:from>
    <xdr:to>
      <xdr:col>5</xdr:col>
      <xdr:colOff>78529</xdr:colOff>
      <xdr:row>184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12CDB7A-F9B0-26A2-42A2-E7DBD959E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570161"/>
          <a:ext cx="5915449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947209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AC7539F-8E62-DD43-0E3F-5E701641B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15449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1</xdr:rowOff>
    </xdr:from>
    <xdr:to>
      <xdr:col>5</xdr:col>
      <xdr:colOff>78529</xdr:colOff>
      <xdr:row>209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11A73EB-3174-9987-1CBA-F7851AC26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523161"/>
          <a:ext cx="5915449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1</xdr:rowOff>
    </xdr:from>
    <xdr:to>
      <xdr:col>5</xdr:col>
      <xdr:colOff>78529</xdr:colOff>
      <xdr:row>234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BB4006-9B0C-3FF6-7B11-F2DAC843A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476161"/>
          <a:ext cx="5915449" cy="444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506882" name="interp button" hidden="1">
              <a:extLst>
                <a:ext uri="{63B3BB69-23CF-44E3-9099-C40C66FF867C}">
                  <a14:compatExt spid="_x0000_s506882"/>
                </a:ext>
                <a:ext uri="{FF2B5EF4-FFF2-40B4-BE49-F238E27FC236}">
                  <a16:creationId xmlns:a16="http://schemas.microsoft.com/office/drawing/2014/main" id="{B263DF9C-DDDB-DB89-A58E-0E2085D55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12</xdr:row>
      <xdr:rowOff>0</xdr:rowOff>
    </xdr:from>
    <xdr:to>
      <xdr:col>5</xdr:col>
      <xdr:colOff>92265</xdr:colOff>
      <xdr:row>26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861E3E-0343-49DD-B913-537CB70F3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381500"/>
          <a:ext cx="5929185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5</xdr:col>
      <xdr:colOff>92265</xdr:colOff>
      <xdr:row>59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1758691-B535-6305-35BA-2BAF092DF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805160"/>
          <a:ext cx="5929185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1</xdr:rowOff>
    </xdr:from>
    <xdr:to>
      <xdr:col>5</xdr:col>
      <xdr:colOff>92265</xdr:colOff>
      <xdr:row>84</xdr:row>
      <xdr:rowOff>86361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DA9258F-4EF0-592D-894A-CEA8E5F8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758161"/>
          <a:ext cx="5929185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1</xdr:rowOff>
    </xdr:from>
    <xdr:to>
      <xdr:col>5</xdr:col>
      <xdr:colOff>92265</xdr:colOff>
      <xdr:row>109</xdr:row>
      <xdr:rowOff>86361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440CEE6-33C7-DFAF-DD32-70CD59EC1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711161"/>
          <a:ext cx="5929185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112</xdr:row>
      <xdr:rowOff>1</xdr:rowOff>
    </xdr:from>
    <xdr:to>
      <xdr:col>5</xdr:col>
      <xdr:colOff>92265</xdr:colOff>
      <xdr:row>134</xdr:row>
      <xdr:rowOff>86361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7353217-69B4-5123-9A2A-BAF5DA7A0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664161"/>
          <a:ext cx="5929185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</xdr:rowOff>
    </xdr:from>
    <xdr:to>
      <xdr:col>5</xdr:col>
      <xdr:colOff>92265</xdr:colOff>
      <xdr:row>159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85129C8-9F4A-0E4F-4ABB-F43CFE510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617161"/>
          <a:ext cx="5929185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</xdr:rowOff>
    </xdr:from>
    <xdr:to>
      <xdr:col>5</xdr:col>
      <xdr:colOff>92265</xdr:colOff>
      <xdr:row>184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C9B21A9-ECAE-C053-0074-D2CF5B502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570161"/>
          <a:ext cx="5929185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960945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220B19F-8CC7-DC2C-4BCB-A457295C2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29185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1</xdr:rowOff>
    </xdr:from>
    <xdr:to>
      <xdr:col>5</xdr:col>
      <xdr:colOff>92265</xdr:colOff>
      <xdr:row>209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F0DA8C2-0CF8-985F-D6C7-47ECA2813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523161"/>
          <a:ext cx="5929185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1</xdr:rowOff>
    </xdr:from>
    <xdr:to>
      <xdr:col>5</xdr:col>
      <xdr:colOff>92265</xdr:colOff>
      <xdr:row>234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CA58070-6439-14E7-02D2-C2090441C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476161"/>
          <a:ext cx="5929185" cy="4445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505858" name="interp button" hidden="1">
              <a:extLst>
                <a:ext uri="{63B3BB69-23CF-44E3-9099-C40C66FF867C}">
                  <a14:compatExt spid="_x0000_s505858"/>
                </a:ext>
                <a:ext uri="{FF2B5EF4-FFF2-40B4-BE49-F238E27FC236}">
                  <a16:creationId xmlns:a16="http://schemas.microsoft.com/office/drawing/2014/main" id="{DC6E1927-059E-5CAD-ED71-A215BDCD7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12</xdr:row>
      <xdr:rowOff>0</xdr:rowOff>
    </xdr:from>
    <xdr:to>
      <xdr:col>5</xdr:col>
      <xdr:colOff>95572</xdr:colOff>
      <xdr:row>26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F8165AF-EDF4-4824-0B0D-2AAA11843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381500"/>
          <a:ext cx="593249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5</xdr:col>
      <xdr:colOff>95572</xdr:colOff>
      <xdr:row>59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D86E4B6-4B81-292A-1C94-CB33B3222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805160"/>
          <a:ext cx="593249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1</xdr:rowOff>
    </xdr:from>
    <xdr:to>
      <xdr:col>5</xdr:col>
      <xdr:colOff>95572</xdr:colOff>
      <xdr:row>84</xdr:row>
      <xdr:rowOff>86361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3CAF5D-6CB1-7E18-372C-0CD996648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758161"/>
          <a:ext cx="593249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1</xdr:rowOff>
    </xdr:from>
    <xdr:to>
      <xdr:col>5</xdr:col>
      <xdr:colOff>95572</xdr:colOff>
      <xdr:row>109</xdr:row>
      <xdr:rowOff>86361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E160F62-6A4C-8D87-6706-95BFE4931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711161"/>
          <a:ext cx="593249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112</xdr:row>
      <xdr:rowOff>1</xdr:rowOff>
    </xdr:from>
    <xdr:to>
      <xdr:col>5</xdr:col>
      <xdr:colOff>95572</xdr:colOff>
      <xdr:row>134</xdr:row>
      <xdr:rowOff>86361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1FD06CE-CB18-15EA-B731-2D58E2767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664161"/>
          <a:ext cx="593249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</xdr:rowOff>
    </xdr:from>
    <xdr:to>
      <xdr:col>5</xdr:col>
      <xdr:colOff>95572</xdr:colOff>
      <xdr:row>159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CBC06DF-129B-0803-2599-5C2F1CF76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617161"/>
          <a:ext cx="593249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</xdr:rowOff>
    </xdr:from>
    <xdr:to>
      <xdr:col>5</xdr:col>
      <xdr:colOff>95572</xdr:colOff>
      <xdr:row>184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C150944-23A6-AFCE-A1CE-DD98F29DB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570161"/>
          <a:ext cx="5932492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964252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619B156-023C-8554-9A41-083979ADB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3249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1</xdr:rowOff>
    </xdr:from>
    <xdr:to>
      <xdr:col>5</xdr:col>
      <xdr:colOff>95572</xdr:colOff>
      <xdr:row>209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5DD4B29-C4CB-746F-F9AE-7CDD1513C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523161"/>
          <a:ext cx="5932492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1</xdr:rowOff>
    </xdr:from>
    <xdr:to>
      <xdr:col>5</xdr:col>
      <xdr:colOff>95572</xdr:colOff>
      <xdr:row>234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37BA63B-B6A8-2FBD-6FAD-861FD6886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476161"/>
          <a:ext cx="5932492" cy="4445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504834" name="interp button" hidden="1">
              <a:extLst>
                <a:ext uri="{63B3BB69-23CF-44E3-9099-C40C66FF867C}">
                  <a14:compatExt spid="_x0000_s504834"/>
                </a:ext>
                <a:ext uri="{FF2B5EF4-FFF2-40B4-BE49-F238E27FC236}">
                  <a16:creationId xmlns:a16="http://schemas.microsoft.com/office/drawing/2014/main" id="{3A8663B7-743C-D36F-1D71-E7E0D820D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12</xdr:row>
      <xdr:rowOff>0</xdr:rowOff>
    </xdr:from>
    <xdr:to>
      <xdr:col>5</xdr:col>
      <xdr:colOff>112366</xdr:colOff>
      <xdr:row>26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50D904-3120-585F-476B-618549BAC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381500"/>
          <a:ext cx="59492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5</xdr:col>
      <xdr:colOff>112366</xdr:colOff>
      <xdr:row>59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99B1F1-AF54-B7CD-BE16-E9FE93C3B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805160"/>
          <a:ext cx="59492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1</xdr:rowOff>
    </xdr:from>
    <xdr:to>
      <xdr:col>5</xdr:col>
      <xdr:colOff>112366</xdr:colOff>
      <xdr:row>84</xdr:row>
      <xdr:rowOff>86361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3BF5C6-F9ED-EF36-93C2-CC37584E3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758161"/>
          <a:ext cx="59492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1</xdr:rowOff>
    </xdr:from>
    <xdr:to>
      <xdr:col>5</xdr:col>
      <xdr:colOff>112366</xdr:colOff>
      <xdr:row>109</xdr:row>
      <xdr:rowOff>86361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793E058-034B-BCAE-8548-F2C67B868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711161"/>
          <a:ext cx="59492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112</xdr:row>
      <xdr:rowOff>1</xdr:rowOff>
    </xdr:from>
    <xdr:to>
      <xdr:col>5</xdr:col>
      <xdr:colOff>112366</xdr:colOff>
      <xdr:row>134</xdr:row>
      <xdr:rowOff>86361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B71194D-A63F-C544-FA53-7DD3DCE8B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664161"/>
          <a:ext cx="59492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</xdr:rowOff>
    </xdr:from>
    <xdr:to>
      <xdr:col>5</xdr:col>
      <xdr:colOff>112366</xdr:colOff>
      <xdr:row>159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89B842B-569E-0A5D-061A-964D6AB16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617161"/>
          <a:ext cx="59492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</xdr:rowOff>
    </xdr:from>
    <xdr:to>
      <xdr:col>5</xdr:col>
      <xdr:colOff>112366</xdr:colOff>
      <xdr:row>184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FD2770D-77A0-A96D-8CFC-BCFDD4F99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570161"/>
          <a:ext cx="5949286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981046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0290DF3-F3DD-72C6-0224-038F1217E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492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1</xdr:rowOff>
    </xdr:from>
    <xdr:to>
      <xdr:col>5</xdr:col>
      <xdr:colOff>112366</xdr:colOff>
      <xdr:row>209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6499832-74CB-3775-1BD3-57D2360A3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523161"/>
          <a:ext cx="59492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1</xdr:rowOff>
    </xdr:from>
    <xdr:to>
      <xdr:col>5</xdr:col>
      <xdr:colOff>112366</xdr:colOff>
      <xdr:row>234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8AB8820-F73D-7E78-DD7B-A5AFB892F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476161"/>
          <a:ext cx="5949286" cy="4445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503810" name="interp button" hidden="1">
              <a:extLst>
                <a:ext uri="{63B3BB69-23CF-44E3-9099-C40C66FF867C}">
                  <a14:compatExt spid="_x0000_s503810"/>
                </a:ext>
                <a:ext uri="{FF2B5EF4-FFF2-40B4-BE49-F238E27FC236}">
                  <a16:creationId xmlns:a16="http://schemas.microsoft.com/office/drawing/2014/main" id="{F291AA6A-0F38-C2C7-DB7E-E85E11888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12</xdr:row>
      <xdr:rowOff>0</xdr:rowOff>
    </xdr:from>
    <xdr:to>
      <xdr:col>5</xdr:col>
      <xdr:colOff>87857</xdr:colOff>
      <xdr:row>26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CF249BD-37A8-0616-FC59-964D24874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381500"/>
          <a:ext cx="592477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5</xdr:col>
      <xdr:colOff>87857</xdr:colOff>
      <xdr:row>59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152242-5F12-48FF-2C35-C7F8201B0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805160"/>
          <a:ext cx="592477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1</xdr:rowOff>
    </xdr:from>
    <xdr:to>
      <xdr:col>5</xdr:col>
      <xdr:colOff>87857</xdr:colOff>
      <xdr:row>84</xdr:row>
      <xdr:rowOff>86361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D174794-297A-A76B-1215-BFEB24C40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758161"/>
          <a:ext cx="592477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1</xdr:rowOff>
    </xdr:from>
    <xdr:to>
      <xdr:col>5</xdr:col>
      <xdr:colOff>87857</xdr:colOff>
      <xdr:row>109</xdr:row>
      <xdr:rowOff>86361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F36A89-37BA-37B6-397D-837530CC3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711161"/>
          <a:ext cx="592477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112</xdr:row>
      <xdr:rowOff>1</xdr:rowOff>
    </xdr:from>
    <xdr:to>
      <xdr:col>5</xdr:col>
      <xdr:colOff>87857</xdr:colOff>
      <xdr:row>134</xdr:row>
      <xdr:rowOff>86361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EAAD07B-2886-0A3E-3563-F8420B316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664161"/>
          <a:ext cx="592477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</xdr:rowOff>
    </xdr:from>
    <xdr:to>
      <xdr:col>5</xdr:col>
      <xdr:colOff>87857</xdr:colOff>
      <xdr:row>159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02ED9FC-25D2-C7E1-D1FF-20EAECB73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617161"/>
          <a:ext cx="592477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</xdr:rowOff>
    </xdr:from>
    <xdr:to>
      <xdr:col>5</xdr:col>
      <xdr:colOff>87857</xdr:colOff>
      <xdr:row>184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17CFED0-EB56-7708-1EEA-02EFDC7CB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570161"/>
          <a:ext cx="592477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956537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0634984-B07F-FF1F-7349-529411CE4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2477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1</xdr:rowOff>
    </xdr:from>
    <xdr:to>
      <xdr:col>5</xdr:col>
      <xdr:colOff>87857</xdr:colOff>
      <xdr:row>209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DAB8D46-4BDE-C5FD-1509-D7EB74C64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523161"/>
          <a:ext cx="592477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1</xdr:rowOff>
    </xdr:from>
    <xdr:to>
      <xdr:col>5</xdr:col>
      <xdr:colOff>87857</xdr:colOff>
      <xdr:row>234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A8F6B79-A999-9B9C-FDB5-48AF47F44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476161"/>
          <a:ext cx="5924777" cy="4445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502786" name="interp button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5A7652CE-AB51-9E27-3A93-441AB0861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501762" name="interp button" hidden="1">
              <a:extLst>
                <a:ext uri="{63B3BB69-23CF-44E3-9099-C40C66FF867C}">
                  <a14:compatExt spid="_x0000_s501762"/>
                </a:ext>
                <a:ext uri="{FF2B5EF4-FFF2-40B4-BE49-F238E27FC236}">
                  <a16:creationId xmlns:a16="http://schemas.microsoft.com/office/drawing/2014/main" id="{53230DE4-FA8E-CBCD-6A80-3AF9D622F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12</xdr:row>
      <xdr:rowOff>0</xdr:rowOff>
    </xdr:from>
    <xdr:to>
      <xdr:col>5</xdr:col>
      <xdr:colOff>82407</xdr:colOff>
      <xdr:row>26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B4280FF-C919-28CA-0272-7A7D7295C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381500"/>
          <a:ext cx="59193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5</xdr:col>
      <xdr:colOff>82407</xdr:colOff>
      <xdr:row>59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32F5432-130C-5926-312D-F6BF05247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805160"/>
          <a:ext cx="59193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1</xdr:rowOff>
    </xdr:from>
    <xdr:to>
      <xdr:col>5</xdr:col>
      <xdr:colOff>82407</xdr:colOff>
      <xdr:row>84</xdr:row>
      <xdr:rowOff>86361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7015B3B-A34E-CF7F-830C-39EC00EEC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758161"/>
          <a:ext cx="59193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1</xdr:rowOff>
    </xdr:from>
    <xdr:to>
      <xdr:col>5</xdr:col>
      <xdr:colOff>82407</xdr:colOff>
      <xdr:row>109</xdr:row>
      <xdr:rowOff>86361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63096CB-B725-BF61-6AD9-C5D9C5D51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711161"/>
          <a:ext cx="59193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112</xdr:row>
      <xdr:rowOff>1</xdr:rowOff>
    </xdr:from>
    <xdr:to>
      <xdr:col>5</xdr:col>
      <xdr:colOff>82407</xdr:colOff>
      <xdr:row>134</xdr:row>
      <xdr:rowOff>86361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34F8227-9402-A6A2-9EDC-36FAB06CF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664161"/>
          <a:ext cx="59193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</xdr:rowOff>
    </xdr:from>
    <xdr:to>
      <xdr:col>5</xdr:col>
      <xdr:colOff>82407</xdr:colOff>
      <xdr:row>159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B21A538-AAC5-3316-8E5A-4C23FD8D0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617161"/>
          <a:ext cx="59193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</xdr:rowOff>
    </xdr:from>
    <xdr:to>
      <xdr:col>5</xdr:col>
      <xdr:colOff>82407</xdr:colOff>
      <xdr:row>184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2260C95-07AF-FC61-130B-C9DE2FA75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570161"/>
          <a:ext cx="591932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951087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2BAD315-0EF0-2C65-28EB-4F7D87181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193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1</xdr:rowOff>
    </xdr:from>
    <xdr:to>
      <xdr:col>5</xdr:col>
      <xdr:colOff>82407</xdr:colOff>
      <xdr:row>209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026AAF5-D708-00B5-0660-4FD5699D1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523161"/>
          <a:ext cx="59193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1</xdr:rowOff>
    </xdr:from>
    <xdr:to>
      <xdr:col>5</xdr:col>
      <xdr:colOff>82407</xdr:colOff>
      <xdr:row>234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807EF8C-45C3-44C0-EBE5-BAC11B77D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476161"/>
          <a:ext cx="5919327" cy="4445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500738" name="interp button" hidden="1">
              <a:extLst>
                <a:ext uri="{63B3BB69-23CF-44E3-9099-C40C66FF867C}">
                  <a14:compatExt spid="_x0000_s500738"/>
                </a:ext>
                <a:ext uri="{FF2B5EF4-FFF2-40B4-BE49-F238E27FC236}">
                  <a16:creationId xmlns:a16="http://schemas.microsoft.com/office/drawing/2014/main" id="{F0D271BA-1EF2-4460-1068-4A8092BD3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99714" name="interp button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9667594A-D5F0-35B5-B340-CEF7ABF74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98690" name="interp button" hidden="1">
              <a:extLst>
                <a:ext uri="{63B3BB69-23CF-44E3-9099-C40C66FF867C}">
                  <a14:compatExt spid="_x0000_s498690"/>
                </a:ext>
                <a:ext uri="{FF2B5EF4-FFF2-40B4-BE49-F238E27FC236}">
                  <a16:creationId xmlns:a16="http://schemas.microsoft.com/office/drawing/2014/main" id="{5107101B-F8A7-94DD-8D89-1EF51E752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97666" name="interp button" hidden="1">
              <a:extLst>
                <a:ext uri="{63B3BB69-23CF-44E3-9099-C40C66FF867C}">
                  <a14:compatExt spid="_x0000_s497666"/>
                </a:ext>
                <a:ext uri="{FF2B5EF4-FFF2-40B4-BE49-F238E27FC236}">
                  <a16:creationId xmlns:a16="http://schemas.microsoft.com/office/drawing/2014/main" id="{A3A14773-233A-18D2-CB05-F96404FFAB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96642" name="interp button" hidden="1">
              <a:extLst>
                <a:ext uri="{63B3BB69-23CF-44E3-9099-C40C66FF867C}">
                  <a14:compatExt spid="_x0000_s496642"/>
                </a:ext>
                <a:ext uri="{FF2B5EF4-FFF2-40B4-BE49-F238E27FC236}">
                  <a16:creationId xmlns:a16="http://schemas.microsoft.com/office/drawing/2014/main" id="{509A572D-E179-3EEE-F3EF-3626B6C58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95618" name="interp button" hidden="1">
              <a:extLst>
                <a:ext uri="{63B3BB69-23CF-44E3-9099-C40C66FF867C}">
                  <a14:compatExt spid="_x0000_s495618"/>
                </a:ext>
                <a:ext uri="{FF2B5EF4-FFF2-40B4-BE49-F238E27FC236}">
                  <a16:creationId xmlns:a16="http://schemas.microsoft.com/office/drawing/2014/main" id="{B479CA2B-4196-C87A-7B55-10B911C0E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94594" name="interp button" hidden="1">
              <a:extLst>
                <a:ext uri="{63B3BB69-23CF-44E3-9099-C40C66FF867C}">
                  <a14:compatExt spid="_x0000_s494594"/>
                </a:ext>
                <a:ext uri="{FF2B5EF4-FFF2-40B4-BE49-F238E27FC236}">
                  <a16:creationId xmlns:a16="http://schemas.microsoft.com/office/drawing/2014/main" id="{B9DE0A2A-0E34-5BDB-5E8A-FF5B613AE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93570" name="interp button" hidden="1">
              <a:extLst>
                <a:ext uri="{63B3BB69-23CF-44E3-9099-C40C66FF867C}">
                  <a14:compatExt spid="_x0000_s493570"/>
                </a:ext>
                <a:ext uri="{FF2B5EF4-FFF2-40B4-BE49-F238E27FC236}">
                  <a16:creationId xmlns:a16="http://schemas.microsoft.com/office/drawing/2014/main" id="{EAE90CB9-F1F9-5BCE-F3DE-03EBABA32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3421</xdr:rowOff>
    </xdr:from>
    <xdr:to>
      <xdr:col>5</xdr:col>
      <xdr:colOff>95034</xdr:colOff>
      <xdr:row>30</xdr:row>
      <xdr:rowOff>133013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126FF6-6928-DC87-93F6-74D90DE49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663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167951</xdr:rowOff>
    </xdr:from>
    <xdr:to>
      <xdr:col>5</xdr:col>
      <xdr:colOff>95034</xdr:colOff>
      <xdr:row>61</xdr:row>
      <xdr:rowOff>142033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C946059-DC01-B9FD-0C92-754DE30D9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201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66869</xdr:rowOff>
    </xdr:from>
    <xdr:to>
      <xdr:col>5</xdr:col>
      <xdr:colOff>95034</xdr:colOff>
      <xdr:row>87</xdr:row>
      <xdr:rowOff>40951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5BB1712-728B-777E-01AD-17226CD8F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54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160176</xdr:rowOff>
    </xdr:from>
    <xdr:to>
      <xdr:col>5</xdr:col>
      <xdr:colOff>95034</xdr:colOff>
      <xdr:row>112</xdr:row>
      <xdr:rowOff>134257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66BB79C-E69B-E1F2-6E72-458777EC1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107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115</xdr:row>
      <xdr:rowOff>59094</xdr:rowOff>
    </xdr:from>
    <xdr:to>
      <xdr:col>5</xdr:col>
      <xdr:colOff>95034</xdr:colOff>
      <xdr:row>138</xdr:row>
      <xdr:rowOff>33176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249855F-FDF2-3C48-FDBC-F034258C4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60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140</xdr:row>
      <xdr:rowOff>152400</xdr:rowOff>
    </xdr:from>
    <xdr:to>
      <xdr:col>5</xdr:col>
      <xdr:colOff>95034</xdr:colOff>
      <xdr:row>163</xdr:row>
      <xdr:rowOff>126482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84A9E27-5541-2B57-E3FC-3B14472E0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13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166</xdr:row>
      <xdr:rowOff>51318</xdr:rowOff>
    </xdr:from>
    <xdr:to>
      <xdr:col>5</xdr:col>
      <xdr:colOff>95034</xdr:colOff>
      <xdr:row>189</xdr:row>
      <xdr:rowOff>25400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2139C0ED-E7BD-1D30-EB21-0F18A4A92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66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8864</xdr:colOff>
      <xdr:row>39</xdr:row>
      <xdr:rowOff>171683</xdr:rowOff>
    </xdr:from>
    <xdr:to>
      <xdr:col>11</xdr:col>
      <xdr:colOff>974756</xdr:colOff>
      <xdr:row>62</xdr:row>
      <xdr:rowOff>145765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B733CFE-850A-2927-52DA-9566D0B6D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191</xdr:row>
      <xdr:rowOff>144624</xdr:rowOff>
    </xdr:from>
    <xdr:to>
      <xdr:col>5</xdr:col>
      <xdr:colOff>95034</xdr:colOff>
      <xdr:row>214</xdr:row>
      <xdr:rowOff>118706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0B496CF-4D9D-325E-2880-EE7EDDAB7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94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217</xdr:row>
      <xdr:rowOff>43543</xdr:rowOff>
    </xdr:from>
    <xdr:to>
      <xdr:col>5</xdr:col>
      <xdr:colOff>95034</xdr:colOff>
      <xdr:row>240</xdr:row>
      <xdr:rowOff>17624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D8BBB73-8446-62D1-7D75-815F897F4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72400"/>
          <a:ext cx="5926667" cy="4445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92546" name="interp button" hidden="1">
              <a:extLst>
                <a:ext uri="{63B3BB69-23CF-44E3-9099-C40C66FF867C}">
                  <a14:compatExt spid="_x0000_s492546"/>
                </a:ext>
                <a:ext uri="{FF2B5EF4-FFF2-40B4-BE49-F238E27FC236}">
                  <a16:creationId xmlns:a16="http://schemas.microsoft.com/office/drawing/2014/main" id="{7B8943FE-4496-5E89-F60F-8FE41C9E9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85607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F12EA4-67CB-8BE6-54CE-8E13E7BEA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66360"/>
          <a:ext cx="59225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85607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E77155-137A-F74A-194A-29629390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201400"/>
          <a:ext cx="59225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85607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29F7276-9323-D696-0C4F-92A1479DB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54400"/>
          <a:ext cx="59225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85607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ECBCE7D-8EDE-FF53-6142-E81ABAD7C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107400"/>
          <a:ext cx="59225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5</xdr:col>
      <xdr:colOff>85607</xdr:colOff>
      <xdr:row>136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D309BC1-B1B9-B133-0922-441F1A66D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60400"/>
          <a:ext cx="59225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5</xdr:col>
      <xdr:colOff>85607</xdr:colOff>
      <xdr:row>161</xdr:row>
      <xdr:rowOff>86360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AE13F9C-C1E5-18B3-5073-776746C9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13400"/>
          <a:ext cx="59225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164</xdr:row>
      <xdr:rowOff>0</xdr:rowOff>
    </xdr:from>
    <xdr:to>
      <xdr:col>5</xdr:col>
      <xdr:colOff>85607</xdr:colOff>
      <xdr:row>186</xdr:row>
      <xdr:rowOff>86360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4F287A2-C2AA-CEBF-9C7E-7366CB3B1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66400"/>
          <a:ext cx="592252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954287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826D83C-B8BE-DBC0-A954-B4A72DAB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225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5</xdr:col>
      <xdr:colOff>85607</xdr:colOff>
      <xdr:row>211</xdr:row>
      <xdr:rowOff>86360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59F0F96-51EB-08FB-436C-D4FA8403D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9400"/>
          <a:ext cx="592252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5</xdr:col>
      <xdr:colOff>85607</xdr:colOff>
      <xdr:row>236</xdr:row>
      <xdr:rowOff>86360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2551E47-05D2-70A8-BFA4-FF85B63B4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72400"/>
          <a:ext cx="5922527" cy="44450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91522" name="interp button" hidden="1">
              <a:extLst>
                <a:ext uri="{63B3BB69-23CF-44E3-9099-C40C66FF867C}">
                  <a14:compatExt spid="_x0000_s491522"/>
                </a:ext>
                <a:ext uri="{FF2B5EF4-FFF2-40B4-BE49-F238E27FC236}">
                  <a16:creationId xmlns:a16="http://schemas.microsoft.com/office/drawing/2014/main" id="{3FF961E8-3F09-F1AE-5B8F-C10E9A4F1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94466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5AAA56-B7BE-C557-4310-E13152540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66360"/>
          <a:ext cx="59313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94466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CCA4E2-FB75-72F8-FF4A-31BDA941B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201400"/>
          <a:ext cx="59313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94466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226E633-04C4-BCFD-485F-B4CF88408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54400"/>
          <a:ext cx="59313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94466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52060FA-3C1D-BA41-315B-A437F5F43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107400"/>
          <a:ext cx="59313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5</xdr:col>
      <xdr:colOff>94466</xdr:colOff>
      <xdr:row>136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5A4F89D-B320-024B-968D-C6CC0C276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60400"/>
          <a:ext cx="59313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5</xdr:col>
      <xdr:colOff>94466</xdr:colOff>
      <xdr:row>161</xdr:row>
      <xdr:rowOff>86360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7BAC7DC-EFB2-AC42-989B-6E9A7EFD9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13400"/>
          <a:ext cx="59313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164</xdr:row>
      <xdr:rowOff>0</xdr:rowOff>
    </xdr:from>
    <xdr:to>
      <xdr:col>5</xdr:col>
      <xdr:colOff>94466</xdr:colOff>
      <xdr:row>186</xdr:row>
      <xdr:rowOff>86360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DB9AEF1-FD3C-92D8-1688-D79F7CAF2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66400"/>
          <a:ext cx="5931386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963146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68DFE98B-C4C6-48B1-64AA-EDBEC165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9520"/>
          <a:ext cx="59313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5</xdr:col>
      <xdr:colOff>94466</xdr:colOff>
      <xdr:row>211</xdr:row>
      <xdr:rowOff>86360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3BCFCA96-4014-A83F-F780-726CC1C7A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9400"/>
          <a:ext cx="5931386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5</xdr:col>
      <xdr:colOff>94466</xdr:colOff>
      <xdr:row>236</xdr:row>
      <xdr:rowOff>86360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D3128A1-9816-2058-B7AD-C50D4DF5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72400"/>
          <a:ext cx="5931386" cy="44450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968000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671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972382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3477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1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1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8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18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968000</xdr:colOff>
      <xdr:row>62</xdr:row>
      <xdr:rowOff>635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671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972313</xdr:colOff>
      <xdr:row>62</xdr:row>
      <xdr:rowOff>635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70470" y="11344275"/>
          <a:ext cx="5923408" cy="44488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59426" name="interp button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18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291465</xdr:rowOff>
    </xdr:from>
    <xdr:to>
      <xdr:col>5</xdr:col>
      <xdr:colOff>87224</xdr:colOff>
      <xdr:row>30</xdr:row>
      <xdr:rowOff>109220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1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515874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154305</xdr:rowOff>
    </xdr:from>
    <xdr:to>
      <xdr:col>5</xdr:col>
      <xdr:colOff>87224</xdr:colOff>
      <xdr:row>61</xdr:row>
      <xdr:rowOff>635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1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1119378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106680</xdr:rowOff>
    </xdr:from>
    <xdr:to>
      <xdr:col>5</xdr:col>
      <xdr:colOff>87224</xdr:colOff>
      <xdr:row>85</xdr:row>
      <xdr:rowOff>153035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1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1614678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59055</xdr:rowOff>
    </xdr:from>
    <xdr:to>
      <xdr:col>5</xdr:col>
      <xdr:colOff>87224</xdr:colOff>
      <xdr:row>110</xdr:row>
      <xdr:rowOff>105410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1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2109978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11429</xdr:rowOff>
    </xdr:from>
    <xdr:to>
      <xdr:col>5</xdr:col>
      <xdr:colOff>87224</xdr:colOff>
      <xdr:row>135</xdr:row>
      <xdr:rowOff>57784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1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26052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163829</xdr:rowOff>
    </xdr:from>
    <xdr:to>
      <xdr:col>5</xdr:col>
      <xdr:colOff>87224</xdr:colOff>
      <xdr:row>160</xdr:row>
      <xdr:rowOff>10159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1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31005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116204</xdr:rowOff>
    </xdr:from>
    <xdr:to>
      <xdr:col>5</xdr:col>
      <xdr:colOff>87224</xdr:colOff>
      <xdr:row>184</xdr:row>
      <xdr:rowOff>162559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35958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969239</xdr:colOff>
      <xdr:row>61</xdr:row>
      <xdr:rowOff>198755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1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8565" y="1139190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68579</xdr:rowOff>
    </xdr:from>
    <xdr:to>
      <xdr:col>5</xdr:col>
      <xdr:colOff>87224</xdr:colOff>
      <xdr:row>209</xdr:row>
      <xdr:rowOff>114934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1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40911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20954</xdr:rowOff>
    </xdr:from>
    <xdr:to>
      <xdr:col>5</xdr:col>
      <xdr:colOff>87224</xdr:colOff>
      <xdr:row>234</xdr:row>
      <xdr:rowOff>67309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1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0" y="45864779"/>
          <a:ext cx="5926049" cy="444690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290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7287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290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968503</xdr:colOff>
      <xdr:row>62</xdr:row>
      <xdr:rowOff>635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70470" y="11344275"/>
          <a:ext cx="592721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290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1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1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7287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969167</xdr:colOff>
      <xdr:row>61</xdr:row>
      <xdr:rowOff>189230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1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570470" y="11344275"/>
          <a:ext cx="5927882" cy="44373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61474" name="interp button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16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291465</xdr:rowOff>
    </xdr:from>
    <xdr:to>
      <xdr:col>5</xdr:col>
      <xdr:colOff>87224</xdr:colOff>
      <xdr:row>30</xdr:row>
      <xdr:rowOff>109220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1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515874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154305</xdr:rowOff>
    </xdr:from>
    <xdr:to>
      <xdr:col>5</xdr:col>
      <xdr:colOff>87224</xdr:colOff>
      <xdr:row>61</xdr:row>
      <xdr:rowOff>635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1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1119378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106680</xdr:rowOff>
    </xdr:from>
    <xdr:to>
      <xdr:col>5</xdr:col>
      <xdr:colOff>87224</xdr:colOff>
      <xdr:row>85</xdr:row>
      <xdr:rowOff>153035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1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1614678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59055</xdr:rowOff>
    </xdr:from>
    <xdr:to>
      <xdr:col>5</xdr:col>
      <xdr:colOff>87224</xdr:colOff>
      <xdr:row>110</xdr:row>
      <xdr:rowOff>105410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1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2109978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11429</xdr:rowOff>
    </xdr:from>
    <xdr:to>
      <xdr:col>5</xdr:col>
      <xdr:colOff>87224</xdr:colOff>
      <xdr:row>135</xdr:row>
      <xdr:rowOff>57784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1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26052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163829</xdr:rowOff>
    </xdr:from>
    <xdr:to>
      <xdr:col>5</xdr:col>
      <xdr:colOff>87224</xdr:colOff>
      <xdr:row>160</xdr:row>
      <xdr:rowOff>10159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1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31005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116204</xdr:rowOff>
    </xdr:from>
    <xdr:to>
      <xdr:col>5</xdr:col>
      <xdr:colOff>87224</xdr:colOff>
      <xdr:row>184</xdr:row>
      <xdr:rowOff>162559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1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35958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969239</xdr:colOff>
      <xdr:row>61</xdr:row>
      <xdr:rowOff>198755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1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7568565" y="11391900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68579</xdr:rowOff>
    </xdr:from>
    <xdr:to>
      <xdr:col>5</xdr:col>
      <xdr:colOff>87224</xdr:colOff>
      <xdr:row>209</xdr:row>
      <xdr:rowOff>114934</xdr:rowOff>
    </xdr:to>
    <xdr:pic>
      <xdr:nvPicPr>
        <xdr:cNvPr id="361475" name="Picture 361474">
          <a:extLst>
            <a:ext uri="{FF2B5EF4-FFF2-40B4-BE49-F238E27FC236}">
              <a16:creationId xmlns:a16="http://schemas.microsoft.com/office/drawing/2014/main" id="{00000000-0008-0000-1600-00000384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0" y="40911779"/>
          <a:ext cx="5926049" cy="4446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20954</xdr:rowOff>
    </xdr:from>
    <xdr:to>
      <xdr:col>5</xdr:col>
      <xdr:colOff>87224</xdr:colOff>
      <xdr:row>234</xdr:row>
      <xdr:rowOff>67309</xdr:rowOff>
    </xdr:to>
    <xdr:pic>
      <xdr:nvPicPr>
        <xdr:cNvPr id="361477" name="Picture 361476">
          <a:extLst>
            <a:ext uri="{FF2B5EF4-FFF2-40B4-BE49-F238E27FC236}">
              <a16:creationId xmlns:a16="http://schemas.microsoft.com/office/drawing/2014/main" id="{00000000-0008-0000-1600-00000584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0" y="45864779"/>
          <a:ext cx="5926049" cy="444690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290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7287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290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968503</xdr:colOff>
      <xdr:row>62</xdr:row>
      <xdr:rowOff>635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70470" y="11344275"/>
          <a:ext cx="592721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1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1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1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1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1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1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62</xdr:row>
      <xdr:rowOff>635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1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290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1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1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7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17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17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1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968572</xdr:colOff>
      <xdr:row>62</xdr:row>
      <xdr:rowOff>635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1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7287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969167</xdr:colOff>
      <xdr:row>61</xdr:row>
      <xdr:rowOff>189230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1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570470" y="11344275"/>
          <a:ext cx="5927882" cy="44373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60450" name="interp button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17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291465</xdr:rowOff>
    </xdr:from>
    <xdr:to>
      <xdr:col>5</xdr:col>
      <xdr:colOff>91700</xdr:colOff>
      <xdr:row>30</xdr:row>
      <xdr:rowOff>105410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1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5158740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154305</xdr:rowOff>
    </xdr:from>
    <xdr:to>
      <xdr:col>5</xdr:col>
      <xdr:colOff>91700</xdr:colOff>
      <xdr:row>60</xdr:row>
      <xdr:rowOff>196850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17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11193780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106680</xdr:rowOff>
    </xdr:from>
    <xdr:to>
      <xdr:col>5</xdr:col>
      <xdr:colOff>91700</xdr:colOff>
      <xdr:row>85</xdr:row>
      <xdr:rowOff>149225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17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16146780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59055</xdr:rowOff>
    </xdr:from>
    <xdr:to>
      <xdr:col>5</xdr:col>
      <xdr:colOff>91700</xdr:colOff>
      <xdr:row>110</xdr:row>
      <xdr:rowOff>101600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1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21099780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11429</xdr:rowOff>
    </xdr:from>
    <xdr:to>
      <xdr:col>5</xdr:col>
      <xdr:colOff>91700</xdr:colOff>
      <xdr:row>135</xdr:row>
      <xdr:rowOff>53974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17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26052779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163829</xdr:rowOff>
    </xdr:from>
    <xdr:to>
      <xdr:col>5</xdr:col>
      <xdr:colOff>91700</xdr:colOff>
      <xdr:row>160</xdr:row>
      <xdr:rowOff>6349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17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31005779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116204</xdr:rowOff>
    </xdr:from>
    <xdr:to>
      <xdr:col>5</xdr:col>
      <xdr:colOff>91700</xdr:colOff>
      <xdr:row>184</xdr:row>
      <xdr:rowOff>158749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1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35958779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971810</xdr:colOff>
      <xdr:row>61</xdr:row>
      <xdr:rowOff>194945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1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7568565" y="11391900"/>
          <a:ext cx="5928620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68579</xdr:rowOff>
    </xdr:from>
    <xdr:to>
      <xdr:col>5</xdr:col>
      <xdr:colOff>91700</xdr:colOff>
      <xdr:row>209</xdr:row>
      <xdr:rowOff>111124</xdr:rowOff>
    </xdr:to>
    <xdr:pic>
      <xdr:nvPicPr>
        <xdr:cNvPr id="360451" name="Picture 360450">
          <a:extLst>
            <a:ext uri="{FF2B5EF4-FFF2-40B4-BE49-F238E27FC236}">
              <a16:creationId xmlns:a16="http://schemas.microsoft.com/office/drawing/2014/main" id="{00000000-0008-0000-1700-00000380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0" y="40911779"/>
          <a:ext cx="5930525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20954</xdr:rowOff>
    </xdr:from>
    <xdr:to>
      <xdr:col>5</xdr:col>
      <xdr:colOff>91700</xdr:colOff>
      <xdr:row>234</xdr:row>
      <xdr:rowOff>63499</xdr:rowOff>
    </xdr:to>
    <xdr:pic>
      <xdr:nvPicPr>
        <xdr:cNvPr id="360453" name="Picture 360452">
          <a:extLst>
            <a:ext uri="{FF2B5EF4-FFF2-40B4-BE49-F238E27FC236}">
              <a16:creationId xmlns:a16="http://schemas.microsoft.com/office/drawing/2014/main" id="{00000000-0008-0000-1700-00000580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0" y="45864779"/>
          <a:ext cx="5930525" cy="444309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973153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424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968000</xdr:colOff>
      <xdr:row>62</xdr:row>
      <xdr:rowOff>635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570470" y="11344275"/>
          <a:ext cx="5926715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972382</xdr:colOff>
      <xdr:row>62</xdr:row>
      <xdr:rowOff>635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3477" cy="44488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58402" name="interp button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19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291465</xdr:rowOff>
    </xdr:from>
    <xdr:to>
      <xdr:col>5</xdr:col>
      <xdr:colOff>79532</xdr:colOff>
      <xdr:row>30</xdr:row>
      <xdr:rowOff>99695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5158740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154305</xdr:rowOff>
    </xdr:from>
    <xdr:to>
      <xdr:col>5</xdr:col>
      <xdr:colOff>79532</xdr:colOff>
      <xdr:row>60</xdr:row>
      <xdr:rowOff>191135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11193780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106680</xdr:rowOff>
    </xdr:from>
    <xdr:to>
      <xdr:col>5</xdr:col>
      <xdr:colOff>79532</xdr:colOff>
      <xdr:row>85</xdr:row>
      <xdr:rowOff>143510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1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16146780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59055</xdr:rowOff>
    </xdr:from>
    <xdr:to>
      <xdr:col>5</xdr:col>
      <xdr:colOff>79532</xdr:colOff>
      <xdr:row>110</xdr:row>
      <xdr:rowOff>95885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9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21099780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11429</xdr:rowOff>
    </xdr:from>
    <xdr:to>
      <xdr:col>5</xdr:col>
      <xdr:colOff>79532</xdr:colOff>
      <xdr:row>135</xdr:row>
      <xdr:rowOff>48259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1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26052779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163829</xdr:rowOff>
    </xdr:from>
    <xdr:to>
      <xdr:col>5</xdr:col>
      <xdr:colOff>79532</xdr:colOff>
      <xdr:row>160</xdr:row>
      <xdr:rowOff>634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1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31005779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116204</xdr:rowOff>
    </xdr:from>
    <xdr:to>
      <xdr:col>5</xdr:col>
      <xdr:colOff>79532</xdr:colOff>
      <xdr:row>184</xdr:row>
      <xdr:rowOff>153034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1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35958779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961547</xdr:colOff>
      <xdr:row>61</xdr:row>
      <xdr:rowOff>189230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1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7568565" y="11391900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68579</xdr:rowOff>
    </xdr:from>
    <xdr:to>
      <xdr:col>5</xdr:col>
      <xdr:colOff>79532</xdr:colOff>
      <xdr:row>209</xdr:row>
      <xdr:rowOff>105409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1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0" y="40911779"/>
          <a:ext cx="5918357" cy="44373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20954</xdr:rowOff>
    </xdr:from>
    <xdr:to>
      <xdr:col>5</xdr:col>
      <xdr:colOff>79532</xdr:colOff>
      <xdr:row>234</xdr:row>
      <xdr:rowOff>57784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1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0" y="45864779"/>
          <a:ext cx="5918357" cy="443738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971762</xdr:colOff>
      <xdr:row>62</xdr:row>
      <xdr:rowOff>95885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0477" cy="44926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967952</xdr:colOff>
      <xdr:row>62</xdr:row>
      <xdr:rowOff>92075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2850" y="11391900"/>
          <a:ext cx="5934287" cy="449643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969343</xdr:colOff>
      <xdr:row>62</xdr:row>
      <xdr:rowOff>635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70470" y="11344275"/>
          <a:ext cx="5928058" cy="44488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52258" name="interp button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A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291465</xdr:rowOff>
    </xdr:from>
    <xdr:to>
      <xdr:col>5</xdr:col>
      <xdr:colOff>92272</xdr:colOff>
      <xdr:row>30</xdr:row>
      <xdr:rowOff>105410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5158740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154305</xdr:rowOff>
    </xdr:from>
    <xdr:to>
      <xdr:col>5</xdr:col>
      <xdr:colOff>92272</xdr:colOff>
      <xdr:row>60</xdr:row>
      <xdr:rowOff>196850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11193780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106680</xdr:rowOff>
    </xdr:from>
    <xdr:to>
      <xdr:col>5</xdr:col>
      <xdr:colOff>92272</xdr:colOff>
      <xdr:row>85</xdr:row>
      <xdr:rowOff>149225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16146780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59055</xdr:rowOff>
    </xdr:from>
    <xdr:to>
      <xdr:col>5</xdr:col>
      <xdr:colOff>92272</xdr:colOff>
      <xdr:row>110</xdr:row>
      <xdr:rowOff>101600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21099780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11429</xdr:rowOff>
    </xdr:from>
    <xdr:to>
      <xdr:col>5</xdr:col>
      <xdr:colOff>92272</xdr:colOff>
      <xdr:row>135</xdr:row>
      <xdr:rowOff>53974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26052779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137</xdr:row>
      <xdr:rowOff>163829</xdr:rowOff>
    </xdr:from>
    <xdr:to>
      <xdr:col>5</xdr:col>
      <xdr:colOff>92272</xdr:colOff>
      <xdr:row>160</xdr:row>
      <xdr:rowOff>6349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31005779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116204</xdr:rowOff>
    </xdr:from>
    <xdr:to>
      <xdr:col>5</xdr:col>
      <xdr:colOff>92272</xdr:colOff>
      <xdr:row>184</xdr:row>
      <xdr:rowOff>158749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35958779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</xdr:colOff>
      <xdr:row>39</xdr:row>
      <xdr:rowOff>152400</xdr:rowOff>
    </xdr:from>
    <xdr:to>
      <xdr:col>11</xdr:col>
      <xdr:colOff>972382</xdr:colOff>
      <xdr:row>61</xdr:row>
      <xdr:rowOff>194945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1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68565" y="11391900"/>
          <a:ext cx="5929192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68579</xdr:rowOff>
    </xdr:from>
    <xdr:to>
      <xdr:col>5</xdr:col>
      <xdr:colOff>92272</xdr:colOff>
      <xdr:row>209</xdr:row>
      <xdr:rowOff>111124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0911779"/>
          <a:ext cx="5931097" cy="4443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20954</xdr:rowOff>
    </xdr:from>
    <xdr:to>
      <xdr:col>5</xdr:col>
      <xdr:colOff>92272</xdr:colOff>
      <xdr:row>234</xdr:row>
      <xdr:rowOff>63499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1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45864779"/>
          <a:ext cx="5931097" cy="4443095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26667" cy="4445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38946" name="interp button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B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1587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1193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16146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1099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26052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1005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35958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0911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45864779"/>
          <a:ext cx="5926667" cy="44450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66660" y="11338560"/>
          <a:ext cx="5926667" cy="4445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19490" name="interp button" hidden="1">
              <a:extLst>
                <a:ext uri="{63B3BB69-23CF-44E3-9099-C40C66FF867C}">
                  <a14:compatExt spid="_x0000_s319490"/>
                </a:ext>
                <a:ext uri="{FF2B5EF4-FFF2-40B4-BE49-F238E27FC236}">
                  <a16:creationId xmlns:a16="http://schemas.microsoft.com/office/drawing/2014/main" id="{00000000-0008-0000-1C00-000002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1587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1193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16146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1099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26052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1005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35958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0911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45864779"/>
          <a:ext cx="5926667" cy="44450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14370" name="interp button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1D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587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193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46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099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52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05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58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1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64779"/>
          <a:ext cx="5926667" cy="44450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13346" name="interp button" hidden="1">
              <a:extLst>
                <a:ext uri="{63B3BB69-23CF-44E3-9099-C40C66FF867C}">
                  <a14:compatExt spid="_x0000_s313346"/>
                </a:ext>
                <a:ext uri="{FF2B5EF4-FFF2-40B4-BE49-F238E27FC236}">
                  <a16:creationId xmlns:a16="http://schemas.microsoft.com/office/drawing/2014/main" id="{00000000-0008-0000-1E00-000002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5</xdr:col>
      <xdr:colOff>89747</xdr:colOff>
      <xdr:row>24</xdr:row>
      <xdr:rowOff>33020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9014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5</xdr:col>
      <xdr:colOff>89747</xdr:colOff>
      <xdr:row>58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599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5</xdr:col>
      <xdr:colOff>89747</xdr:colOff>
      <xdr:row>83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552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5</xdr:col>
      <xdr:colOff>89747</xdr:colOff>
      <xdr:row>108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505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0</xdr:rowOff>
    </xdr:from>
    <xdr:to>
      <xdr:col>5</xdr:col>
      <xdr:colOff>89747</xdr:colOff>
      <xdr:row>133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458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</xdr:row>
      <xdr:rowOff>1</xdr:rowOff>
    </xdr:from>
    <xdr:to>
      <xdr:col>5</xdr:col>
      <xdr:colOff>89747</xdr:colOff>
      <xdr:row>158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41142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161</xdr:row>
      <xdr:rowOff>1</xdr:rowOff>
    </xdr:from>
    <xdr:to>
      <xdr:col>5</xdr:col>
      <xdr:colOff>89747</xdr:colOff>
      <xdr:row>183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36442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186</xdr:row>
      <xdr:rowOff>1</xdr:rowOff>
    </xdr:from>
    <xdr:to>
      <xdr:col>5</xdr:col>
      <xdr:colOff>89747</xdr:colOff>
      <xdr:row>208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31742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211</xdr:row>
      <xdr:rowOff>1</xdr:rowOff>
    </xdr:from>
    <xdr:to>
      <xdr:col>5</xdr:col>
      <xdr:colOff>89747</xdr:colOff>
      <xdr:row>233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270421"/>
          <a:ext cx="5926667" cy="444500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10274" name="interp button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1F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30</xdr:row>
      <xdr:rowOff>147320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1587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1193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5</xdr:col>
      <xdr:colOff>89747</xdr:colOff>
      <xdr:row>86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6146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89747</xdr:colOff>
      <xdr:row>111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10997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6052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1005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958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1391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9117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864779"/>
          <a:ext cx="5926667" cy="444500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97986" name="interp button" hidden="1">
              <a:extLst>
                <a:ext uri="{63B3BB69-23CF-44E3-9099-C40C66FF867C}">
                  <a14:compatExt spid="_x0000_s297986"/>
                </a:ext>
                <a:ext uri="{FF2B5EF4-FFF2-40B4-BE49-F238E27FC236}">
                  <a16:creationId xmlns:a16="http://schemas.microsoft.com/office/drawing/2014/main" id="{00000000-0008-0000-2000-000002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95938" name="interp button" hidden="1">
              <a:extLst>
                <a:ext uri="{63B3BB69-23CF-44E3-9099-C40C66FF867C}">
                  <a14:compatExt spid="_x0000_s295938"/>
                </a:ext>
                <a:ext uri="{FF2B5EF4-FFF2-40B4-BE49-F238E27FC236}">
                  <a16:creationId xmlns:a16="http://schemas.microsoft.com/office/drawing/2014/main" id="{00000000-0008-0000-2100-000002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5</xdr:col>
      <xdr:colOff>89747</xdr:colOff>
      <xdr:row>26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966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5</xdr:col>
      <xdr:colOff>89747</xdr:colOff>
      <xdr:row>58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9822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5</xdr:col>
      <xdr:colOff>89747</xdr:colOff>
      <xdr:row>83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4775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5</xdr:col>
      <xdr:colOff>89747</xdr:colOff>
      <xdr:row>108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19728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0</xdr:rowOff>
    </xdr:from>
    <xdr:to>
      <xdr:col>5</xdr:col>
      <xdr:colOff>89747</xdr:colOff>
      <xdr:row>133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4681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135</xdr:row>
      <xdr:rowOff>198119</xdr:rowOff>
    </xdr:from>
    <xdr:to>
      <xdr:col>5</xdr:col>
      <xdr:colOff>89747</xdr:colOff>
      <xdr:row>158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2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296341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160</xdr:row>
      <xdr:rowOff>198119</xdr:rowOff>
    </xdr:from>
    <xdr:to>
      <xdr:col>5</xdr:col>
      <xdr:colOff>89747</xdr:colOff>
      <xdr:row>183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2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45871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185</xdr:row>
      <xdr:rowOff>198119</xdr:rowOff>
    </xdr:from>
    <xdr:to>
      <xdr:col>5</xdr:col>
      <xdr:colOff>89747</xdr:colOff>
      <xdr:row>208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2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395401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210</xdr:row>
      <xdr:rowOff>198119</xdr:rowOff>
    </xdr:from>
    <xdr:to>
      <xdr:col>5</xdr:col>
      <xdr:colOff>89747</xdr:colOff>
      <xdr:row>233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2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4493179"/>
          <a:ext cx="5926667" cy="44450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89794" name="interp button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22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5</xdr:col>
      <xdr:colOff>89747</xdr:colOff>
      <xdr:row>26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966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5</xdr:col>
      <xdr:colOff>89747</xdr:colOff>
      <xdr:row>58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9822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5</xdr:col>
      <xdr:colOff>89747</xdr:colOff>
      <xdr:row>83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4775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5</xdr:col>
      <xdr:colOff>89747</xdr:colOff>
      <xdr:row>108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19728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0</xdr:rowOff>
    </xdr:from>
    <xdr:to>
      <xdr:col>5</xdr:col>
      <xdr:colOff>89747</xdr:colOff>
      <xdr:row>133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46811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135</xdr:row>
      <xdr:rowOff>198119</xdr:rowOff>
    </xdr:from>
    <xdr:to>
      <xdr:col>5</xdr:col>
      <xdr:colOff>89747</xdr:colOff>
      <xdr:row>158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2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296341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160</xdr:row>
      <xdr:rowOff>198119</xdr:rowOff>
    </xdr:from>
    <xdr:to>
      <xdr:col>5</xdr:col>
      <xdr:colOff>89747</xdr:colOff>
      <xdr:row>183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2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45871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185</xdr:row>
      <xdr:rowOff>198119</xdr:rowOff>
    </xdr:from>
    <xdr:to>
      <xdr:col>5</xdr:col>
      <xdr:colOff>89747</xdr:colOff>
      <xdr:row>208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2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3954017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210</xdr:row>
      <xdr:rowOff>198119</xdr:rowOff>
    </xdr:from>
    <xdr:to>
      <xdr:col>5</xdr:col>
      <xdr:colOff>89747</xdr:colOff>
      <xdr:row>233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2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4493179"/>
          <a:ext cx="5926667" cy="44450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88770" name="interp button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23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0</xdr:rowOff>
    </xdr:from>
    <xdr:to>
      <xdr:col>5</xdr:col>
      <xdr:colOff>89747</xdr:colOff>
      <xdr:row>29</xdr:row>
      <xdr:rowOff>177800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2148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5</xdr:col>
      <xdr:colOff>89747</xdr:colOff>
      <xdr:row>60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218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5</xdr:col>
      <xdr:colOff>89747</xdr:colOff>
      <xdr:row>85</xdr:row>
      <xdr:rowOff>86360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171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5</xdr:col>
      <xdr:colOff>89747</xdr:colOff>
      <xdr:row>110</xdr:row>
      <xdr:rowOff>86360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124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5</xdr:col>
      <xdr:colOff>89747</xdr:colOff>
      <xdr:row>135</xdr:row>
      <xdr:rowOff>86360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0774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</xdr:rowOff>
    </xdr:from>
    <xdr:to>
      <xdr:col>5</xdr:col>
      <xdr:colOff>89747</xdr:colOff>
      <xdr:row>160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2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03042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</xdr:rowOff>
    </xdr:from>
    <xdr:to>
      <xdr:col>5</xdr:col>
      <xdr:colOff>89747</xdr:colOff>
      <xdr:row>185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498342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</xdr:rowOff>
    </xdr:from>
    <xdr:to>
      <xdr:col>5</xdr:col>
      <xdr:colOff>89747</xdr:colOff>
      <xdr:row>210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2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3993642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</xdr:rowOff>
    </xdr:from>
    <xdr:to>
      <xdr:col>5</xdr:col>
      <xdr:colOff>89747</xdr:colOff>
      <xdr:row>235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2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4889421"/>
          <a:ext cx="5926667" cy="44450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86722" name="interp button" hidden="1">
              <a:extLst>
                <a:ext uri="{63B3BB69-23CF-44E3-9099-C40C66FF867C}">
                  <a14:compatExt spid="_x0000_s286722"/>
                </a:ext>
                <a:ext uri="{FF2B5EF4-FFF2-40B4-BE49-F238E27FC236}">
                  <a16:creationId xmlns:a16="http://schemas.microsoft.com/office/drawing/2014/main" id="{00000000-0008-0000-2400-0000026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15</xdr:row>
      <xdr:rowOff>0</xdr:rowOff>
    </xdr:from>
    <xdr:to>
      <xdr:col>5</xdr:col>
      <xdr:colOff>89747</xdr:colOff>
      <xdr:row>33</xdr:row>
      <xdr:rowOff>40640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84632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5</xdr:col>
      <xdr:colOff>89747</xdr:colOff>
      <xdr:row>62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1</xdr:rowOff>
    </xdr:from>
    <xdr:to>
      <xdr:col>5</xdr:col>
      <xdr:colOff>89747</xdr:colOff>
      <xdr:row>87</xdr:row>
      <xdr:rowOff>86361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56766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1</xdr:rowOff>
    </xdr:from>
    <xdr:to>
      <xdr:col>5</xdr:col>
      <xdr:colOff>89747</xdr:colOff>
      <xdr:row>112</xdr:row>
      <xdr:rowOff>86361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52066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115</xdr:row>
      <xdr:rowOff>1</xdr:rowOff>
    </xdr:from>
    <xdr:to>
      <xdr:col>5</xdr:col>
      <xdr:colOff>89747</xdr:colOff>
      <xdr:row>137</xdr:row>
      <xdr:rowOff>86361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47366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140</xdr:row>
      <xdr:rowOff>1</xdr:rowOff>
    </xdr:from>
    <xdr:to>
      <xdr:col>5</xdr:col>
      <xdr:colOff>89747</xdr:colOff>
      <xdr:row>162</xdr:row>
      <xdr:rowOff>86361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2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42666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165</xdr:row>
      <xdr:rowOff>1</xdr:rowOff>
    </xdr:from>
    <xdr:to>
      <xdr:col>5</xdr:col>
      <xdr:colOff>89747</xdr:colOff>
      <xdr:row>187</xdr:row>
      <xdr:rowOff>86361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2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37966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190</xdr:row>
      <xdr:rowOff>1</xdr:rowOff>
    </xdr:from>
    <xdr:to>
      <xdr:col>5</xdr:col>
      <xdr:colOff>89747</xdr:colOff>
      <xdr:row>212</xdr:row>
      <xdr:rowOff>86361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2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332661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215</xdr:row>
      <xdr:rowOff>1</xdr:rowOff>
    </xdr:from>
    <xdr:to>
      <xdr:col>5</xdr:col>
      <xdr:colOff>89747</xdr:colOff>
      <xdr:row>237</xdr:row>
      <xdr:rowOff>86361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2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285661"/>
          <a:ext cx="5926667" cy="444500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84674" name="interp button" hidden="1">
              <a:extLst>
                <a:ext uri="{63B3BB69-23CF-44E3-9099-C40C66FF867C}">
                  <a14:compatExt spid="_x0000_s284674"/>
                </a:ext>
                <a:ext uri="{FF2B5EF4-FFF2-40B4-BE49-F238E27FC236}">
                  <a16:creationId xmlns:a16="http://schemas.microsoft.com/office/drawing/2014/main" id="{00000000-0008-0000-2500-0000025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2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2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2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2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78530" name="interp button" hidden="1">
              <a:extLst>
                <a:ext uri="{63B3BB69-23CF-44E3-9099-C40C66FF867C}">
                  <a14:compatExt spid="_x0000_s278530"/>
                </a:ext>
                <a:ext uri="{FF2B5EF4-FFF2-40B4-BE49-F238E27FC236}">
                  <a16:creationId xmlns:a16="http://schemas.microsoft.com/office/drawing/2014/main" id="{00000000-0008-0000-2600-000002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2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2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2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2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76482" name="interp button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2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2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2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2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2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72386" name="interp button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2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2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2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2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2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70338" name="interp button" hidden="1">
              <a:extLst>
                <a:ext uri="{63B3BB69-23CF-44E3-9099-C40C66FF867C}">
                  <a14:compatExt spid="_x0000_s270338"/>
                </a:ext>
                <a:ext uri="{FF2B5EF4-FFF2-40B4-BE49-F238E27FC236}">
                  <a16:creationId xmlns:a16="http://schemas.microsoft.com/office/drawing/2014/main" id="{00000000-0008-0000-2900-0000022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2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2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2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69314" name="interp button" hidden="1">
              <a:extLst>
                <a:ext uri="{63B3BB69-23CF-44E3-9099-C40C66FF867C}">
                  <a14:compatExt spid="_x0000_s269314"/>
                </a:ext>
                <a:ext uri="{FF2B5EF4-FFF2-40B4-BE49-F238E27FC236}">
                  <a16:creationId xmlns:a16="http://schemas.microsoft.com/office/drawing/2014/main" id="{00000000-0008-0000-2A00-0000021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2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2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2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2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68290" name="interp button" hidden="1">
              <a:extLst>
                <a:ext uri="{63B3BB69-23CF-44E3-9099-C40C66FF867C}">
                  <a14:compatExt spid="_x0000_s268290"/>
                </a:ext>
                <a:ext uri="{FF2B5EF4-FFF2-40B4-BE49-F238E27FC236}">
                  <a16:creationId xmlns:a16="http://schemas.microsoft.com/office/drawing/2014/main" id="{00000000-0008-0000-2B00-0000021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2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2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2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2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39618" name="interp button" hidden="1">
              <a:extLst>
                <a:ext uri="{63B3BB69-23CF-44E3-9099-C40C66FF867C}">
                  <a14:compatExt spid="_x0000_s239618"/>
                </a:ext>
                <a:ext uri="{FF2B5EF4-FFF2-40B4-BE49-F238E27FC236}">
                  <a16:creationId xmlns:a16="http://schemas.microsoft.com/office/drawing/2014/main" id="{00000000-0008-0000-2C00-000002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Interpoler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89747</xdr:colOff>
      <xdr:row>31</xdr:row>
      <xdr:rowOff>109220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3390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5</xdr:col>
      <xdr:colOff>89747</xdr:colOff>
      <xdr:row>61</xdr:row>
      <xdr:rowOff>86360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041654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198119</xdr:rowOff>
    </xdr:from>
    <xdr:to>
      <xdr:col>5</xdr:col>
      <xdr:colOff>89747</xdr:colOff>
      <xdr:row>86</xdr:row>
      <xdr:rowOff>86359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15369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198119</xdr:rowOff>
    </xdr:from>
    <xdr:to>
      <xdr:col>5</xdr:col>
      <xdr:colOff>89747</xdr:colOff>
      <xdr:row>111</xdr:row>
      <xdr:rowOff>86359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20322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198119</xdr:rowOff>
    </xdr:from>
    <xdr:to>
      <xdr:col>5</xdr:col>
      <xdr:colOff>89747</xdr:colOff>
      <xdr:row>136</xdr:row>
      <xdr:rowOff>86359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25275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198119</xdr:rowOff>
    </xdr:from>
    <xdr:to>
      <xdr:col>5</xdr:col>
      <xdr:colOff>89747</xdr:colOff>
      <xdr:row>161</xdr:row>
      <xdr:rowOff>86359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2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30228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198119</xdr:rowOff>
    </xdr:from>
    <xdr:to>
      <xdr:col>5</xdr:col>
      <xdr:colOff>89747</xdr:colOff>
      <xdr:row>186</xdr:row>
      <xdr:rowOff>86359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2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35181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11</xdr:col>
      <xdr:colOff>958427</xdr:colOff>
      <xdr:row>62</xdr:row>
      <xdr:rowOff>86360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566660" y="10614660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198119</xdr:rowOff>
    </xdr:from>
    <xdr:to>
      <xdr:col>5</xdr:col>
      <xdr:colOff>89747</xdr:colOff>
      <xdr:row>211</xdr:row>
      <xdr:rowOff>86359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2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40134539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198119</xdr:rowOff>
    </xdr:from>
    <xdr:to>
      <xdr:col>5</xdr:col>
      <xdr:colOff>89747</xdr:colOff>
      <xdr:row>236</xdr:row>
      <xdr:rowOff>86359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2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45087539"/>
          <a:ext cx="5926667" cy="444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48A9-731B-4F26-8A8D-3A0E56044030}">
  <sheetPr codeName="Sheet1"/>
  <dimension ref="A1:Z36"/>
  <sheetViews>
    <sheetView tabSelected="1" zoomScale="98" zoomScaleNormal="98" workbookViewId="0">
      <selection activeCell="X6" sqref="X6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style="4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thickBot="1" x14ac:dyDescent="0.35">
      <c r="A2" s="85" t="s">
        <v>145</v>
      </c>
      <c r="B2" s="86"/>
      <c r="D2" s="18" t="s">
        <v>31</v>
      </c>
      <c r="E2" s="16">
        <v>200</v>
      </c>
      <c r="F2" s="12" t="s">
        <v>80</v>
      </c>
      <c r="G2" s="13" t="s">
        <v>78</v>
      </c>
      <c r="H2" s="41" t="s">
        <v>144</v>
      </c>
      <c r="I2" s="47" t="s">
        <v>175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1000</v>
      </c>
      <c r="Y2" s="68" t="s">
        <v>57</v>
      </c>
      <c r="Z2" s="45" t="s">
        <v>140</v>
      </c>
    </row>
    <row r="3" spans="1:26" ht="25.05" customHeight="1" thickBot="1" x14ac:dyDescent="0.35">
      <c r="A3" s="84"/>
      <c r="B3" s="83"/>
      <c r="D3" s="19" t="s">
        <v>21</v>
      </c>
      <c r="E3" s="92"/>
      <c r="F3" s="93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</v>
      </c>
      <c r="Y3" s="71"/>
      <c r="Z3" s="13" t="s">
        <v>60</v>
      </c>
    </row>
    <row r="4" spans="1:26" ht="25.05" customHeight="1" thickBot="1" x14ac:dyDescent="0.4">
      <c r="A4" s="82" t="s">
        <v>165</v>
      </c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903</v>
      </c>
      <c r="Y4" s="73" t="s">
        <v>33</v>
      </c>
      <c r="Z4" s="57" t="s">
        <v>81</v>
      </c>
    </row>
    <row r="5" spans="1:26" ht="36.6" x14ac:dyDescent="0.3">
      <c r="A5" s="77"/>
      <c r="B5" s="78"/>
      <c r="C5" s="79"/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98"/>
      <c r="Q5" s="2" t="s">
        <v>47</v>
      </c>
      <c r="R5" s="51">
        <v>0.1</v>
      </c>
      <c r="S5" s="12"/>
      <c r="T5" s="45" t="s">
        <v>60</v>
      </c>
      <c r="V5" s="87">
        <v>2</v>
      </c>
      <c r="W5" s="52" t="s">
        <v>52</v>
      </c>
      <c r="X5" s="67"/>
      <c r="Y5" s="68" t="s">
        <v>57</v>
      </c>
      <c r="Z5" s="69"/>
    </row>
    <row r="6" spans="1:26" ht="36.6" x14ac:dyDescent="0.3">
      <c r="A6" s="18"/>
      <c r="B6" s="76"/>
      <c r="C6" s="80"/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98"/>
      <c r="Q6" s="2" t="s">
        <v>48</v>
      </c>
      <c r="R6" s="51">
        <v>883</v>
      </c>
      <c r="S6" s="12" t="s">
        <v>33</v>
      </c>
      <c r="T6" s="45"/>
      <c r="V6" s="88"/>
      <c r="W6" s="11" t="s">
        <v>61</v>
      </c>
      <c r="X6" s="70"/>
      <c r="Y6" s="71"/>
      <c r="Z6" s="13"/>
    </row>
    <row r="7" spans="1:26" ht="25.05" customHeight="1" thickBot="1" x14ac:dyDescent="0.35">
      <c r="A7" s="19"/>
      <c r="B7" s="6"/>
      <c r="C7" s="7"/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98"/>
      <c r="Q7" s="2" t="s">
        <v>49</v>
      </c>
      <c r="R7" s="51">
        <v>33000</v>
      </c>
      <c r="S7" s="12" t="s">
        <v>57</v>
      </c>
      <c r="T7" s="45"/>
      <c r="V7" s="89"/>
      <c r="W7" s="55" t="s">
        <v>53</v>
      </c>
      <c r="X7" s="72"/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99"/>
      <c r="Q8" s="2" t="s">
        <v>50</v>
      </c>
      <c r="R8" s="51">
        <v>10000</v>
      </c>
      <c r="S8" s="12" t="s">
        <v>57</v>
      </c>
      <c r="T8" s="45" t="s">
        <v>140</v>
      </c>
      <c r="V8" s="87">
        <v>3</v>
      </c>
      <c r="W8" s="52" t="s">
        <v>52</v>
      </c>
      <c r="X8" s="67"/>
      <c r="Y8" s="68" t="s">
        <v>57</v>
      </c>
      <c r="Z8" s="69"/>
    </row>
    <row r="9" spans="1:26" ht="25.2" x14ac:dyDescent="0.35">
      <c r="A9" s="81" t="s">
        <v>167</v>
      </c>
      <c r="B9" s="1"/>
      <c r="C9" s="1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1030</v>
      </c>
      <c r="S9" s="12" t="s">
        <v>45</v>
      </c>
      <c r="T9" s="45" t="s">
        <v>139</v>
      </c>
      <c r="V9" s="88"/>
      <c r="W9" s="11" t="s">
        <v>61</v>
      </c>
      <c r="X9" s="70"/>
      <c r="Y9" s="71"/>
      <c r="Z9" s="13"/>
    </row>
    <row r="10" spans="1:26" ht="25.05" customHeight="1" thickBot="1" x14ac:dyDescent="0.35">
      <c r="A10" s="3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98"/>
      <c r="Q10" s="2" t="s">
        <v>43</v>
      </c>
      <c r="R10" s="51">
        <v>7000</v>
      </c>
      <c r="S10" s="12" t="s">
        <v>45</v>
      </c>
      <c r="T10" s="45" t="s">
        <v>59</v>
      </c>
      <c r="V10" s="89"/>
      <c r="W10" s="55" t="s">
        <v>53</v>
      </c>
      <c r="X10" s="72"/>
      <c r="Y10" s="73" t="s">
        <v>33</v>
      </c>
      <c r="Z10" s="57"/>
    </row>
    <row r="11" spans="1:26" ht="25.05" customHeight="1" x14ac:dyDescent="0.3">
      <c r="A11" s="3"/>
      <c r="H11" s="1"/>
      <c r="I11" s="1"/>
      <c r="J11" s="1"/>
      <c r="K11" s="2" t="s">
        <v>62</v>
      </c>
      <c r="L11" s="53">
        <v>2000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/>
      <c r="H12" s="1"/>
      <c r="I12" s="1"/>
      <c r="J12" s="1"/>
      <c r="K12" s="2" t="s">
        <v>63</v>
      </c>
      <c r="L12" s="53">
        <v>293</v>
      </c>
      <c r="M12" s="54" t="s">
        <v>33</v>
      </c>
      <c r="N12" s="45" t="s">
        <v>137</v>
      </c>
      <c r="P12" s="99"/>
      <c r="Q12" s="2" t="s">
        <v>53</v>
      </c>
      <c r="R12" s="51">
        <v>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37.200000000000003" thickBot="1" x14ac:dyDescent="0.35">
      <c r="A13" s="3"/>
      <c r="H13" s="1"/>
      <c r="I13" s="1"/>
      <c r="J13" s="1"/>
      <c r="K13" s="2" t="s">
        <v>64</v>
      </c>
      <c r="L13" s="53">
        <v>313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1</v>
      </c>
      <c r="S13" s="12"/>
      <c r="T13" s="45" t="s">
        <v>141</v>
      </c>
      <c r="V13" s="89"/>
      <c r="W13" s="2" t="s">
        <v>53</v>
      </c>
      <c r="X13" s="72"/>
      <c r="Y13" s="73" t="s">
        <v>33</v>
      </c>
      <c r="Z13" s="57"/>
    </row>
    <row r="14" spans="1:26" ht="25.05" customHeight="1" x14ac:dyDescent="0.3">
      <c r="A14" s="3"/>
      <c r="K14" s="2" t="s">
        <v>65</v>
      </c>
      <c r="L14" s="53">
        <v>100</v>
      </c>
      <c r="M14" s="54" t="s">
        <v>44</v>
      </c>
      <c r="N14" s="45" t="s">
        <v>73</v>
      </c>
      <c r="V14" s="87">
        <v>5</v>
      </c>
      <c r="W14" s="75" t="s">
        <v>52</v>
      </c>
      <c r="X14" s="67"/>
      <c r="Y14" s="68" t="s">
        <v>57</v>
      </c>
      <c r="Z14" s="69"/>
    </row>
    <row r="15" spans="1:26" ht="25.05" customHeight="1" x14ac:dyDescent="0.3">
      <c r="A15" s="3"/>
      <c r="K15" s="2" t="s">
        <v>66</v>
      </c>
      <c r="L15" s="53">
        <v>1000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K18" s="2" t="s">
        <v>95</v>
      </c>
      <c r="L18" s="53">
        <v>900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K20" s="2" t="s">
        <v>107</v>
      </c>
      <c r="L20" s="53">
        <v>15</v>
      </c>
      <c r="M20" s="44"/>
      <c r="N20" s="45" t="s">
        <v>142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K21" s="1"/>
      <c r="L21" s="40" t="s">
        <v>68</v>
      </c>
      <c r="M21" s="41"/>
      <c r="N21" s="42" t="s">
        <v>34</v>
      </c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K22" s="2" t="s">
        <v>3</v>
      </c>
      <c r="L22" s="62" t="s">
        <v>15</v>
      </c>
      <c r="M22" s="54"/>
      <c r="N22" s="45"/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K23" s="2" t="s">
        <v>69</v>
      </c>
      <c r="L23" s="53">
        <v>300</v>
      </c>
      <c r="M23" s="54" t="s">
        <v>44</v>
      </c>
      <c r="N23" s="45" t="s">
        <v>76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K24" s="2" t="s">
        <v>70</v>
      </c>
      <c r="L24" s="53">
        <v>150</v>
      </c>
      <c r="M24" s="54" t="s">
        <v>98</v>
      </c>
      <c r="N24" s="45" t="s">
        <v>77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</row>
    <row r="33" spans="1:1" ht="15" customHeight="1" x14ac:dyDescent="0.3">
      <c r="A33" s="3"/>
    </row>
    <row r="34" spans="1:1" ht="15" customHeight="1" x14ac:dyDescent="0.3">
      <c r="A34" s="3"/>
    </row>
    <row r="35" spans="1:1" ht="15" customHeight="1" x14ac:dyDescent="0.3">
      <c r="A35" s="3"/>
    </row>
    <row r="36" spans="1:1" ht="15" customHeight="1" x14ac:dyDescent="0.3"/>
  </sheetData>
  <mergeCells count="19">
    <mergeCell ref="H1:J1"/>
    <mergeCell ref="A1:C1"/>
    <mergeCell ref="P2:P8"/>
    <mergeCell ref="P9:P12"/>
    <mergeCell ref="V2:V4"/>
    <mergeCell ref="V5:V7"/>
    <mergeCell ref="V8:V10"/>
    <mergeCell ref="V11:V13"/>
    <mergeCell ref="D5:G5"/>
    <mergeCell ref="D6:G6"/>
    <mergeCell ref="D7:G7"/>
    <mergeCell ref="D8:G8"/>
    <mergeCell ref="E3:F3"/>
    <mergeCell ref="V29:V31"/>
    <mergeCell ref="V14:V16"/>
    <mergeCell ref="V17:V19"/>
    <mergeCell ref="V20:V22"/>
    <mergeCell ref="V23:V25"/>
    <mergeCell ref="V26:V28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it_python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6</xdr:col>
                    <xdr:colOff>1333500</xdr:colOff>
                    <xdr:row>4</xdr:row>
                    <xdr:rowOff>396240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E82150-78E7-4668-ADDD-7CEABD50656D}">
          <x14:formula1>
            <xm:f>'Base de données'!$B$2:$B$24</xm:f>
          </x14:formula1>
          <xm:sqref>L22</xm:sqref>
        </x14:dataValidation>
        <x14:dataValidation type="list" allowBlank="1" showInputMessage="1" showErrorMessage="1" xr:uid="{8FEECB5B-1A50-4DD4-BF6B-07FCA15B42F9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D795ABBF-86C6-43B4-8CAF-21B002C0169A}">
          <x14:formula1>
            <xm:f>'Base de données'!$G$2:$G$4</xm:f>
          </x14:formula1>
          <xm:sqref>L7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F2DA2-ECE2-4291-9B5A-BB80269FB786}">
  <sheetPr codeName="Sheet43"/>
  <dimension ref="A1:AA36"/>
  <sheetViews>
    <sheetView zoomScale="98" zoomScaleNormal="98" workbookViewId="0">
      <selection activeCell="X6" sqref="X6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194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1000</v>
      </c>
      <c r="Y2" s="136" t="s">
        <v>57</v>
      </c>
      <c r="Z2" s="115" t="s">
        <v>140</v>
      </c>
    </row>
    <row r="3" spans="1:26" ht="25.05" customHeight="1" thickBot="1" x14ac:dyDescent="0.35">
      <c r="A3" s="137" t="s">
        <v>168</v>
      </c>
      <c r="B3" s="138">
        <v>45</v>
      </c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0.1</v>
      </c>
      <c r="Y3" s="149"/>
      <c r="Z3" s="125" t="s">
        <v>60</v>
      </c>
    </row>
    <row r="4" spans="1:26" ht="25.05" customHeight="1" thickBot="1" x14ac:dyDescent="0.4">
      <c r="A4" s="150" t="s">
        <v>165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903</v>
      </c>
      <c r="Y4" s="155" t="s">
        <v>33</v>
      </c>
      <c r="Z4" s="156" t="s">
        <v>81</v>
      </c>
    </row>
    <row r="5" spans="1:26" ht="36.6" x14ac:dyDescent="0.3">
      <c r="A5" s="157" t="s">
        <v>31</v>
      </c>
      <c r="B5" s="158">
        <v>472.01100000000002</v>
      </c>
      <c r="C5" s="159" t="s">
        <v>80</v>
      </c>
      <c r="D5" s="160"/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0.1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 t="s">
        <v>90</v>
      </c>
      <c r="B6" s="163">
        <v>349.02</v>
      </c>
      <c r="C6" s="164" t="s">
        <v>44</v>
      </c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883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 t="s">
        <v>21</v>
      </c>
      <c r="B7" s="165">
        <v>0.38979999999999998</v>
      </c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33000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10000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9.4" x14ac:dyDescent="0.35">
      <c r="A9" s="169" t="s">
        <v>167</v>
      </c>
      <c r="B9" s="170" t="s">
        <v>101</v>
      </c>
      <c r="C9" s="170" t="s">
        <v>100</v>
      </c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71" t="s">
        <v>91</v>
      </c>
      <c r="B10" s="171">
        <v>599</v>
      </c>
      <c r="C10" s="171">
        <v>40</v>
      </c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7000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71" t="s">
        <v>92</v>
      </c>
      <c r="B11" s="171" t="s">
        <v>102</v>
      </c>
      <c r="C11" s="171"/>
      <c r="H11" s="108"/>
      <c r="I11" s="108"/>
      <c r="J11" s="108"/>
      <c r="K11" s="131" t="s">
        <v>62</v>
      </c>
      <c r="L11" s="143">
        <v>2000</v>
      </c>
      <c r="M11" s="144" t="s">
        <v>44</v>
      </c>
      <c r="N11" s="172" t="s">
        <v>104</v>
      </c>
      <c r="P11" s="145"/>
      <c r="Q11" s="131" t="s">
        <v>52</v>
      </c>
      <c r="R11" s="132">
        <v>10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100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1000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893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5ED9EDA-566C-4D48-95AD-13691C7AD831}">
          <x14:formula1>
            <xm:f>'Base de données'!$G$2:$G$4</xm:f>
          </x14:formula1>
          <xm:sqref>L7</xm:sqref>
        </x14:dataValidation>
        <x14:dataValidation type="list" allowBlank="1" showInputMessage="1" showErrorMessage="1" xr:uid="{2F55CDA1-6E23-4430-9ACF-A5574F08F388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A509B490-0A1C-4749-B90F-6B1DD9A2B706}">
          <x14:formula1>
            <xm:f>'Base de données'!$B$2:$B$24</xm:f>
          </x14:formula1>
          <xm:sqref>L22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8CA82-3365-49EE-AB71-B113C8000E1F}">
  <sheetPr codeName="Sheet42"/>
  <dimension ref="A1:AA36"/>
  <sheetViews>
    <sheetView zoomScale="98" zoomScaleNormal="98" workbookViewId="0">
      <selection activeCell="T6" sqref="T6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193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1000</v>
      </c>
      <c r="Y2" s="136" t="s">
        <v>57</v>
      </c>
      <c r="Z2" s="115" t="s">
        <v>140</v>
      </c>
    </row>
    <row r="3" spans="1:26" ht="25.05" customHeight="1" thickBot="1" x14ac:dyDescent="0.35">
      <c r="A3" s="137" t="s">
        <v>168</v>
      </c>
      <c r="B3" s="138">
        <v>57</v>
      </c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0.1</v>
      </c>
      <c r="Y3" s="149"/>
      <c r="Z3" s="125" t="s">
        <v>60</v>
      </c>
    </row>
    <row r="4" spans="1:26" ht="25.05" customHeight="1" thickBot="1" x14ac:dyDescent="0.4">
      <c r="A4" s="150" t="s">
        <v>165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903</v>
      </c>
      <c r="Y4" s="155" t="s">
        <v>33</v>
      </c>
      <c r="Z4" s="156" t="s">
        <v>81</v>
      </c>
    </row>
    <row r="5" spans="1:26" ht="36.6" x14ac:dyDescent="0.3">
      <c r="A5" s="157" t="s">
        <v>31</v>
      </c>
      <c r="B5" s="158">
        <v>459.42099999999999</v>
      </c>
      <c r="C5" s="159" t="s">
        <v>80</v>
      </c>
      <c r="D5" s="160"/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0.1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 t="s">
        <v>90</v>
      </c>
      <c r="B6" s="163">
        <v>346.29</v>
      </c>
      <c r="C6" s="164" t="s">
        <v>44</v>
      </c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883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 t="s">
        <v>21</v>
      </c>
      <c r="B7" s="165">
        <v>0.38250000000000001</v>
      </c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33000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10000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9.4" x14ac:dyDescent="0.35">
      <c r="A9" s="169" t="s">
        <v>167</v>
      </c>
      <c r="B9" s="170" t="s">
        <v>101</v>
      </c>
      <c r="C9" s="170" t="s">
        <v>100</v>
      </c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71" t="s">
        <v>91</v>
      </c>
      <c r="B10" s="171">
        <v>610</v>
      </c>
      <c r="C10" s="171">
        <v>41</v>
      </c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7000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71" t="s">
        <v>92</v>
      </c>
      <c r="B11" s="171" t="s">
        <v>102</v>
      </c>
      <c r="C11" s="171"/>
      <c r="H11" s="108"/>
      <c r="I11" s="108"/>
      <c r="J11" s="108"/>
      <c r="K11" s="131" t="s">
        <v>62</v>
      </c>
      <c r="L11" s="143">
        <v>2000</v>
      </c>
      <c r="M11" s="144" t="s">
        <v>44</v>
      </c>
      <c r="N11" s="172" t="s">
        <v>104</v>
      </c>
      <c r="P11" s="145"/>
      <c r="Q11" s="131" t="s">
        <v>52</v>
      </c>
      <c r="R11" s="132">
        <v>10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100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1000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90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55C4350-331C-47B1-8FEF-0D4B3416B1E4}">
          <x14:formula1>
            <xm:f>'Base de données'!$G$2:$G$4</xm:f>
          </x14:formula1>
          <xm:sqref>L7</xm:sqref>
        </x14:dataValidation>
        <x14:dataValidation type="list" allowBlank="1" showInputMessage="1" showErrorMessage="1" xr:uid="{A125FA9E-4F4A-4E5F-8030-648EC691AEA8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D533923F-D7F4-45DB-A315-9227241662C3}">
          <x14:formula1>
            <xm:f>'Base de données'!$B$2:$B$24</xm:f>
          </x14:formula1>
          <xm:sqref>L22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83160-B092-45E6-9319-64E1FF41823C}">
  <sheetPr codeName="Sheet41"/>
  <dimension ref="A1:AA36"/>
  <sheetViews>
    <sheetView topLeftCell="P1" zoomScale="98" zoomScaleNormal="98" workbookViewId="0">
      <selection activeCell="R11" sqref="R11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192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2000</v>
      </c>
      <c r="Y2" s="136" t="s">
        <v>57</v>
      </c>
      <c r="Z2" s="115" t="s">
        <v>140</v>
      </c>
    </row>
    <row r="3" spans="1:26" ht="25.05" customHeight="1" thickBot="1" x14ac:dyDescent="0.35">
      <c r="A3" s="137" t="s">
        <v>168</v>
      </c>
      <c r="B3" s="138">
        <v>45</v>
      </c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0.1</v>
      </c>
      <c r="Y3" s="149"/>
      <c r="Z3" s="125" t="s">
        <v>60</v>
      </c>
    </row>
    <row r="4" spans="1:26" ht="25.05" customHeight="1" thickBot="1" x14ac:dyDescent="0.4">
      <c r="A4" s="150" t="s">
        <v>165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903</v>
      </c>
      <c r="Y4" s="155" t="s">
        <v>33</v>
      </c>
      <c r="Z4" s="156" t="s">
        <v>81</v>
      </c>
    </row>
    <row r="5" spans="1:26" ht="36.6" x14ac:dyDescent="0.3">
      <c r="A5" s="157" t="s">
        <v>31</v>
      </c>
      <c r="B5" s="158">
        <v>665.90989999999999</v>
      </c>
      <c r="C5" s="159" t="s">
        <v>80</v>
      </c>
      <c r="D5" s="160"/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0.1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 t="s">
        <v>90</v>
      </c>
      <c r="B6" s="163">
        <v>455.66</v>
      </c>
      <c r="C6" s="164" t="s">
        <v>44</v>
      </c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883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 t="s">
        <v>21</v>
      </c>
      <c r="B7" s="165">
        <v>0.37080000000000002</v>
      </c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30000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10000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9.4" x14ac:dyDescent="0.35">
      <c r="A9" s="169" t="s">
        <v>167</v>
      </c>
      <c r="B9" s="170" t="s">
        <v>101</v>
      </c>
      <c r="C9" s="170" t="s">
        <v>100</v>
      </c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71" t="s">
        <v>91</v>
      </c>
      <c r="B10" s="171">
        <v>610</v>
      </c>
      <c r="C10" s="171">
        <v>41</v>
      </c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7000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71" t="s">
        <v>92</v>
      </c>
      <c r="B11" s="171" t="s">
        <v>102</v>
      </c>
      <c r="C11" s="171"/>
      <c r="H11" s="108"/>
      <c r="I11" s="108"/>
      <c r="J11" s="108"/>
      <c r="K11" s="131" t="s">
        <v>62</v>
      </c>
      <c r="L11" s="143">
        <v>2000</v>
      </c>
      <c r="M11" s="144" t="s">
        <v>44</v>
      </c>
      <c r="N11" s="172" t="s">
        <v>104</v>
      </c>
      <c r="P11" s="145"/>
      <c r="Q11" s="131" t="s">
        <v>52</v>
      </c>
      <c r="R11" s="132"/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100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1000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2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49B7762-95CD-472A-8C3E-6ED1CDA0ADAB}">
          <x14:formula1>
            <xm:f>'Base de données'!$G$2:$G$4</xm:f>
          </x14:formula1>
          <xm:sqref>L7</xm:sqref>
        </x14:dataValidation>
        <x14:dataValidation type="list" allowBlank="1" showInputMessage="1" showErrorMessage="1" xr:uid="{D5FC88BB-E67B-46AE-98C5-5E10E32F0ADE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885AE1B5-E6F4-49B5-BE44-E581CCC0DA90}">
          <x14:formula1>
            <xm:f>'Base de données'!$B$2:$B$24</xm:f>
          </x14:formula1>
          <xm:sqref>L22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4BFC3-3C4A-4085-A704-FCD56EF33533}">
  <sheetPr codeName="Sheet40"/>
  <dimension ref="A1:AA36"/>
  <sheetViews>
    <sheetView topLeftCell="A211" zoomScale="98" zoomScaleNormal="98" workbookViewId="0">
      <selection activeCell="O5" sqref="O5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191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2000</v>
      </c>
      <c r="Y2" s="136" t="s">
        <v>57</v>
      </c>
      <c r="Z2" s="115" t="s">
        <v>140</v>
      </c>
    </row>
    <row r="3" spans="1:26" ht="25.05" customHeight="1" thickBot="1" x14ac:dyDescent="0.35">
      <c r="A3" s="137" t="s">
        <v>168</v>
      </c>
      <c r="B3" s="138">
        <v>42</v>
      </c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</v>
      </c>
      <c r="Y3" s="149"/>
      <c r="Z3" s="125" t="s">
        <v>60</v>
      </c>
    </row>
    <row r="4" spans="1:26" ht="25.05" customHeight="1" thickBot="1" x14ac:dyDescent="0.4">
      <c r="A4" s="150" t="s">
        <v>165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0</v>
      </c>
      <c r="Y4" s="155" t="s">
        <v>33</v>
      </c>
      <c r="Z4" s="156" t="s">
        <v>81</v>
      </c>
    </row>
    <row r="5" spans="1:26" ht="36.6" x14ac:dyDescent="0.3">
      <c r="A5" s="157" t="s">
        <v>31</v>
      </c>
      <c r="B5" s="158">
        <v>534.14679999999998</v>
      </c>
      <c r="C5" s="159" t="s">
        <v>80</v>
      </c>
      <c r="D5" s="160"/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 t="s">
        <v>90</v>
      </c>
      <c r="B6" s="163">
        <v>455.66</v>
      </c>
      <c r="C6" s="164" t="s">
        <v>44</v>
      </c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883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 t="s">
        <v>21</v>
      </c>
      <c r="B7" s="165">
        <v>0.34229999999999999</v>
      </c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30000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10000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9.4" x14ac:dyDescent="0.35">
      <c r="A9" s="169" t="s">
        <v>167</v>
      </c>
      <c r="B9" s="170" t="s">
        <v>101</v>
      </c>
      <c r="C9" s="170" t="s">
        <v>100</v>
      </c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71" t="s">
        <v>91</v>
      </c>
      <c r="B10" s="171" t="s">
        <v>102</v>
      </c>
      <c r="C10" s="171"/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7000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71" t="s">
        <v>92</v>
      </c>
      <c r="B11" s="171" t="s">
        <v>102</v>
      </c>
      <c r="C11" s="171"/>
      <c r="H11" s="108"/>
      <c r="I11" s="108"/>
      <c r="J11" s="108"/>
      <c r="K11" s="131" t="s">
        <v>62</v>
      </c>
      <c r="L11" s="143">
        <v>2000</v>
      </c>
      <c r="M11" s="144" t="s">
        <v>44</v>
      </c>
      <c r="N11" s="172" t="s">
        <v>104</v>
      </c>
      <c r="P11" s="145"/>
      <c r="Q11" s="131" t="s">
        <v>52</v>
      </c>
      <c r="R11" s="132">
        <v>20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100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1000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585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8CB186-9C7F-4FA5-8EFE-C199423DE3EC}">
          <x14:formula1>
            <xm:f>'Base de données'!$G$2:$G$4</xm:f>
          </x14:formula1>
          <xm:sqref>L7</xm:sqref>
        </x14:dataValidation>
        <x14:dataValidation type="list" allowBlank="1" showInputMessage="1" showErrorMessage="1" xr:uid="{3342A9B9-4373-44ED-897A-45BA35F5AC77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B40DAA47-8B2A-4235-8412-88D978310092}">
          <x14:formula1>
            <xm:f>'Base de données'!$B$2:$B$24</xm:f>
          </x14:formula1>
          <xm:sqref>L22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BFD1A-2D0A-41CB-BF68-FFA4727D94B5}">
  <sheetPr codeName="Sheet39"/>
  <dimension ref="A1:AA36"/>
  <sheetViews>
    <sheetView topLeftCell="A206" zoomScale="98" zoomScaleNormal="98" workbookViewId="0">
      <selection activeCell="R10" sqref="R10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190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2000</v>
      </c>
      <c r="Y2" s="136" t="s">
        <v>57</v>
      </c>
      <c r="Z2" s="115" t="s">
        <v>140</v>
      </c>
    </row>
    <row r="3" spans="1:26" ht="25.05" customHeight="1" thickBot="1" x14ac:dyDescent="0.35">
      <c r="A3" s="137" t="s">
        <v>168</v>
      </c>
      <c r="B3" s="138">
        <v>42</v>
      </c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</v>
      </c>
      <c r="Y3" s="149"/>
      <c r="Z3" s="125" t="s">
        <v>60</v>
      </c>
    </row>
    <row r="4" spans="1:26" ht="25.05" customHeight="1" thickBot="1" x14ac:dyDescent="0.4">
      <c r="A4" s="150" t="s">
        <v>165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0</v>
      </c>
      <c r="Y4" s="155" t="s">
        <v>33</v>
      </c>
      <c r="Z4" s="156" t="s">
        <v>81</v>
      </c>
    </row>
    <row r="5" spans="1:26" ht="36.6" x14ac:dyDescent="0.3">
      <c r="A5" s="157" t="s">
        <v>31</v>
      </c>
      <c r="B5" s="158">
        <v>315.06659999999999</v>
      </c>
      <c r="C5" s="159" t="s">
        <v>80</v>
      </c>
      <c r="D5" s="160"/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 t="s">
        <v>90</v>
      </c>
      <c r="B6" s="163">
        <v>256.05</v>
      </c>
      <c r="C6" s="164" t="s">
        <v>44</v>
      </c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883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 t="s">
        <v>21</v>
      </c>
      <c r="B7" s="165">
        <v>0.35399999999999998</v>
      </c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30000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10000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9.4" x14ac:dyDescent="0.35">
      <c r="A9" s="169" t="s">
        <v>167</v>
      </c>
      <c r="B9" s="170" t="s">
        <v>101</v>
      </c>
      <c r="C9" s="170" t="s">
        <v>100</v>
      </c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71" t="s">
        <v>91</v>
      </c>
      <c r="B10" s="171" t="s">
        <v>102</v>
      </c>
      <c r="C10" s="171"/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71" t="s">
        <v>92</v>
      </c>
      <c r="B11" s="171" t="s">
        <v>102</v>
      </c>
      <c r="C11" s="171"/>
      <c r="H11" s="108"/>
      <c r="I11" s="108"/>
      <c r="J11" s="108"/>
      <c r="K11" s="131" t="s">
        <v>62</v>
      </c>
      <c r="L11" s="143">
        <v>2000</v>
      </c>
      <c r="M11" s="144" t="s">
        <v>44</v>
      </c>
      <c r="N11" s="172" t="s">
        <v>104</v>
      </c>
      <c r="P11" s="145"/>
      <c r="Q11" s="131" t="s">
        <v>52</v>
      </c>
      <c r="R11" s="132">
        <v>20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100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1000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483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F61E42F-AACD-41F4-8C0D-D5E807AA1B41}">
          <x14:formula1>
            <xm:f>'Base de données'!$G$2:$G$4</xm:f>
          </x14:formula1>
          <xm:sqref>L7</xm:sqref>
        </x14:dataValidation>
        <x14:dataValidation type="list" allowBlank="1" showInputMessage="1" showErrorMessage="1" xr:uid="{0085BB00-2DF6-4E51-A6AE-2385020A3972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4CB57F14-F401-4777-9F79-7B8EC2252F34}">
          <x14:formula1>
            <xm:f>'Base de données'!$B$2:$B$24</xm:f>
          </x14:formula1>
          <xm:sqref>L22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580B-0C65-499C-86A4-77ED0F15EA9A}">
  <sheetPr codeName="Sheet38"/>
  <dimension ref="A1:AA36"/>
  <sheetViews>
    <sheetView zoomScale="98" zoomScaleNormal="98" workbookViewId="0">
      <selection activeCell="I14" sqref="I14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189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2000</v>
      </c>
      <c r="Y2" s="136" t="s">
        <v>57</v>
      </c>
      <c r="Z2" s="115" t="s">
        <v>140</v>
      </c>
    </row>
    <row r="3" spans="1:26" ht="25.05" customHeight="1" thickBot="1" x14ac:dyDescent="0.35">
      <c r="A3" s="137" t="s">
        <v>168</v>
      </c>
      <c r="B3" s="138">
        <v>33</v>
      </c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</v>
      </c>
      <c r="Y3" s="149"/>
      <c r="Z3" s="125" t="s">
        <v>60</v>
      </c>
    </row>
    <row r="4" spans="1:26" ht="25.05" customHeight="1" thickBot="1" x14ac:dyDescent="0.4">
      <c r="A4" s="150" t="s">
        <v>165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0</v>
      </c>
      <c r="Y4" s="155" t="s">
        <v>33</v>
      </c>
      <c r="Z4" s="156" t="s">
        <v>81</v>
      </c>
    </row>
    <row r="5" spans="1:26" ht="36.6" x14ac:dyDescent="0.3">
      <c r="A5" s="157" t="s">
        <v>31</v>
      </c>
      <c r="B5" s="158">
        <v>321.56470000000002</v>
      </c>
      <c r="C5" s="159" t="s">
        <v>80</v>
      </c>
      <c r="D5" s="160"/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 t="s">
        <v>90</v>
      </c>
      <c r="B6" s="163">
        <v>261.52</v>
      </c>
      <c r="C6" s="164" t="s">
        <v>44</v>
      </c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883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 t="s">
        <v>21</v>
      </c>
      <c r="B7" s="165">
        <v>0.3538</v>
      </c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30000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10000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9.4" x14ac:dyDescent="0.35">
      <c r="A9" s="169" t="s">
        <v>167</v>
      </c>
      <c r="B9" s="170" t="s">
        <v>101</v>
      </c>
      <c r="C9" s="170" t="s">
        <v>100</v>
      </c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71" t="s">
        <v>91</v>
      </c>
      <c r="B10" s="171" t="s">
        <v>102</v>
      </c>
      <c r="C10" s="171"/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71" t="s">
        <v>92</v>
      </c>
      <c r="B11" s="171" t="s">
        <v>102</v>
      </c>
      <c r="C11" s="171"/>
      <c r="H11" s="108"/>
      <c r="I11" s="108"/>
      <c r="J11" s="108"/>
      <c r="K11" s="131" t="s">
        <v>62</v>
      </c>
      <c r="L11" s="143">
        <v>2000</v>
      </c>
      <c r="M11" s="144" t="s">
        <v>44</v>
      </c>
      <c r="N11" s="172" t="s">
        <v>104</v>
      </c>
      <c r="P11" s="145"/>
      <c r="Q11" s="131" t="s">
        <v>52</v>
      </c>
      <c r="R11" s="132">
        <v>10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100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1000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381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4E03D8-265C-4E53-B49F-5856C6747425}">
          <x14:formula1>
            <xm:f>'Base de données'!$G$2:$G$4</xm:f>
          </x14:formula1>
          <xm:sqref>L7</xm:sqref>
        </x14:dataValidation>
        <x14:dataValidation type="list" allowBlank="1" showInputMessage="1" showErrorMessage="1" xr:uid="{1DC25086-1F52-4529-B127-DEC4C83CECD1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80337CAC-9783-4130-8F34-24F42A3F1A80}">
          <x14:formula1>
            <xm:f>'Base de données'!$B$2:$B$24</xm:f>
          </x14:formula1>
          <xm:sqref>L22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9CA33-5A5D-40EA-AC21-30914238771C}">
  <sheetPr codeName="Sheet37"/>
  <dimension ref="A1:AA36"/>
  <sheetViews>
    <sheetView zoomScale="98" zoomScaleNormal="98" workbookViewId="0">
      <selection activeCell="X2" sqref="X2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188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2000</v>
      </c>
      <c r="Y2" s="136" t="s">
        <v>57</v>
      </c>
      <c r="Z2" s="115" t="s">
        <v>140</v>
      </c>
    </row>
    <row r="3" spans="1:26" ht="25.05" customHeight="1" thickBot="1" x14ac:dyDescent="0.35">
      <c r="A3" s="137"/>
      <c r="B3" s="138"/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</v>
      </c>
      <c r="Y3" s="149"/>
      <c r="Z3" s="125" t="s">
        <v>60</v>
      </c>
    </row>
    <row r="4" spans="1:26" ht="25.05" customHeight="1" thickBot="1" x14ac:dyDescent="0.4">
      <c r="A4" s="150" t="s">
        <v>165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0</v>
      </c>
      <c r="Y4" s="155" t="s">
        <v>33</v>
      </c>
      <c r="Z4" s="156" t="s">
        <v>81</v>
      </c>
    </row>
    <row r="5" spans="1:26" ht="36.6" x14ac:dyDescent="0.3">
      <c r="A5" s="157"/>
      <c r="B5" s="158"/>
      <c r="C5" s="159"/>
      <c r="D5" s="160"/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/>
      <c r="B6" s="163"/>
      <c r="C6" s="164"/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883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/>
      <c r="B7" s="165"/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30000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10000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5.2" x14ac:dyDescent="0.35">
      <c r="A9" s="169" t="s">
        <v>167</v>
      </c>
      <c r="B9" s="108"/>
      <c r="C9" s="108"/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67"/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67"/>
      <c r="H11" s="108"/>
      <c r="I11" s="108"/>
      <c r="J11" s="108"/>
      <c r="K11" s="131" t="s">
        <v>62</v>
      </c>
      <c r="L11" s="143">
        <v>2000</v>
      </c>
      <c r="M11" s="144" t="s">
        <v>44</v>
      </c>
      <c r="N11" s="172" t="s">
        <v>104</v>
      </c>
      <c r="P11" s="145"/>
      <c r="Q11" s="131" t="s">
        <v>52</v>
      </c>
      <c r="R11" s="132">
        <v>10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100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1500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C5936BB-0FFA-4564-A778-39EF9F4CAFB8}">
          <x14:formula1>
            <xm:f>'Base de données'!$G$2:$G$4</xm:f>
          </x14:formula1>
          <xm:sqref>L7</xm:sqref>
        </x14:dataValidation>
        <x14:dataValidation type="list" allowBlank="1" showInputMessage="1" showErrorMessage="1" xr:uid="{8310DC83-5082-48EA-AC17-3CE6A39885C5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021A448A-22CC-4B2D-B847-54713AD6D865}">
          <x14:formula1>
            <xm:f>'Base de données'!$B$2:$B$24</xm:f>
          </x14:formula1>
          <xm:sqref>L22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64996-F607-4813-AA41-0FBC90C6DFA3}">
  <sheetPr codeName="Sheet36"/>
  <dimension ref="A1:AA36"/>
  <sheetViews>
    <sheetView topLeftCell="J1" zoomScale="98" zoomScaleNormal="98" workbookViewId="0">
      <selection activeCell="G44" sqref="G44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187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2000</v>
      </c>
      <c r="Y2" s="136" t="s">
        <v>57</v>
      </c>
      <c r="Z2" s="115" t="s">
        <v>140</v>
      </c>
    </row>
    <row r="3" spans="1:26" ht="25.05" customHeight="1" thickBot="1" x14ac:dyDescent="0.35">
      <c r="A3" s="137" t="s">
        <v>168</v>
      </c>
      <c r="B3" s="138">
        <v>34</v>
      </c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</v>
      </c>
      <c r="Y3" s="149"/>
      <c r="Z3" s="125" t="s">
        <v>60</v>
      </c>
    </row>
    <row r="4" spans="1:26" ht="25.05" customHeight="1" thickBot="1" x14ac:dyDescent="0.4">
      <c r="A4" s="150" t="s">
        <v>165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0</v>
      </c>
      <c r="Y4" s="155" t="s">
        <v>33</v>
      </c>
      <c r="Z4" s="156" t="s">
        <v>81</v>
      </c>
    </row>
    <row r="5" spans="1:26" ht="36.6" x14ac:dyDescent="0.3">
      <c r="A5" s="157" t="s">
        <v>31</v>
      </c>
      <c r="B5" s="158">
        <v>324.58359999999999</v>
      </c>
      <c r="C5" s="159" t="s">
        <v>80</v>
      </c>
      <c r="D5" s="160"/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 t="s">
        <v>90</v>
      </c>
      <c r="B6" s="163">
        <v>264.26</v>
      </c>
      <c r="C6" s="164" t="s">
        <v>44</v>
      </c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883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 t="s">
        <v>21</v>
      </c>
      <c r="B7" s="165">
        <v>0.35339999999999999</v>
      </c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30000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8250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9.4" x14ac:dyDescent="0.35">
      <c r="A9" s="169" t="s">
        <v>167</v>
      </c>
      <c r="B9" s="170" t="s">
        <v>101</v>
      </c>
      <c r="C9" s="170" t="s">
        <v>100</v>
      </c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71" t="s">
        <v>91</v>
      </c>
      <c r="B10" s="171" t="s">
        <v>102</v>
      </c>
      <c r="C10" s="171"/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71" t="s">
        <v>92</v>
      </c>
      <c r="B11" s="171" t="s">
        <v>102</v>
      </c>
      <c r="C11" s="171"/>
      <c r="H11" s="108"/>
      <c r="I11" s="108"/>
      <c r="J11" s="108"/>
      <c r="K11" s="131" t="s">
        <v>62</v>
      </c>
      <c r="L11" s="143">
        <v>2000</v>
      </c>
      <c r="M11" s="144" t="s">
        <v>44</v>
      </c>
      <c r="N11" s="172" t="s">
        <v>104</v>
      </c>
      <c r="P11" s="145"/>
      <c r="Q11" s="131" t="s">
        <v>52</v>
      </c>
      <c r="R11" s="132">
        <v>10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100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1500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62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18AB67-BAE1-47BC-B3C9-F7E3F9E5161B}">
          <x14:formula1>
            <xm:f>'Base de données'!$G$2:$G$4</xm:f>
          </x14:formula1>
          <xm:sqref>L7</xm:sqref>
        </x14:dataValidation>
        <x14:dataValidation type="list" allowBlank="1" showInputMessage="1" showErrorMessage="1" xr:uid="{0EADADDF-C931-4B3C-A6F1-B03CAA00E480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CF41F3E8-9D7F-440D-AEA3-4DBD74462833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7214C-9319-4D75-B234-95D1AF252B36}">
  <sheetPr codeName="Sheet35"/>
  <dimension ref="A1:AA36"/>
  <sheetViews>
    <sheetView topLeftCell="K1" zoomScale="98" zoomScaleNormal="98" workbookViewId="0">
      <selection activeCell="D5" sqref="D5:G5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186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2000</v>
      </c>
      <c r="Y2" s="136" t="s">
        <v>57</v>
      </c>
      <c r="Z2" s="115" t="s">
        <v>140</v>
      </c>
    </row>
    <row r="3" spans="1:26" ht="25.05" customHeight="1" thickBot="1" x14ac:dyDescent="0.35">
      <c r="A3" s="137"/>
      <c r="B3" s="138"/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</v>
      </c>
      <c r="Y3" s="149"/>
      <c r="Z3" s="125" t="s">
        <v>60</v>
      </c>
    </row>
    <row r="4" spans="1:26" ht="25.05" customHeight="1" thickBot="1" x14ac:dyDescent="0.4">
      <c r="A4" s="150" t="s">
        <v>165</v>
      </c>
      <c r="D4" s="180" t="s">
        <v>166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903</v>
      </c>
      <c r="Y4" s="155" t="s">
        <v>33</v>
      </c>
      <c r="Z4" s="156" t="s">
        <v>81</v>
      </c>
    </row>
    <row r="5" spans="1:26" ht="36.6" x14ac:dyDescent="0.3">
      <c r="A5" s="157"/>
      <c r="B5" s="158"/>
      <c r="C5" s="159"/>
      <c r="D5" s="181" t="s">
        <v>176</v>
      </c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/>
      <c r="B6" s="163"/>
      <c r="C6" s="164"/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883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/>
      <c r="B7" s="165"/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33000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8250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5.2" x14ac:dyDescent="0.35">
      <c r="A9" s="169" t="s">
        <v>167</v>
      </c>
      <c r="B9" s="108"/>
      <c r="C9" s="108"/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67"/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67"/>
      <c r="H11" s="108"/>
      <c r="I11" s="108"/>
      <c r="J11" s="108"/>
      <c r="K11" s="131" t="s">
        <v>62</v>
      </c>
      <c r="L11" s="143">
        <v>2000</v>
      </c>
      <c r="M11" s="144" t="s">
        <v>44</v>
      </c>
      <c r="N11" s="172" t="s">
        <v>104</v>
      </c>
      <c r="P11" s="145"/>
      <c r="Q11" s="131" t="s">
        <v>52</v>
      </c>
      <c r="R11" s="132">
        <v>10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100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1500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73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D6ADA5-1086-4C40-9B96-B46F4E5C0128}">
          <x14:formula1>
            <xm:f>'Base de données'!$G$2:$G$4</xm:f>
          </x14:formula1>
          <xm:sqref>L7</xm:sqref>
        </x14:dataValidation>
        <x14:dataValidation type="list" allowBlank="1" showInputMessage="1" showErrorMessage="1" xr:uid="{CA66A667-7501-48EC-9261-40FE4BB7E50A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AE44D782-21F9-4C42-B906-FD52C4E735C7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0748C-908D-4D69-A46B-51F6EE845111}">
  <sheetPr codeName="Sheet34"/>
  <dimension ref="A1:AA36"/>
  <sheetViews>
    <sheetView zoomScale="98" zoomScaleNormal="98" workbookViewId="0">
      <selection activeCell="D6" sqref="D6:G6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185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1100</v>
      </c>
      <c r="Y2" s="136" t="s">
        <v>57</v>
      </c>
      <c r="Z2" s="115" t="s">
        <v>140</v>
      </c>
    </row>
    <row r="3" spans="1:26" ht="25.05" customHeight="1" thickBot="1" x14ac:dyDescent="0.35">
      <c r="A3" s="137"/>
      <c r="B3" s="138"/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</v>
      </c>
      <c r="Y3" s="149"/>
      <c r="Z3" s="125" t="s">
        <v>60</v>
      </c>
    </row>
    <row r="4" spans="1:26" ht="25.05" customHeight="1" thickBot="1" x14ac:dyDescent="0.4">
      <c r="A4" s="150" t="s">
        <v>165</v>
      </c>
      <c r="D4" s="180" t="s">
        <v>166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903</v>
      </c>
      <c r="Y4" s="155" t="s">
        <v>33</v>
      </c>
      <c r="Z4" s="156" t="s">
        <v>81</v>
      </c>
    </row>
    <row r="5" spans="1:26" ht="36.6" x14ac:dyDescent="0.3">
      <c r="A5" s="157"/>
      <c r="B5" s="158"/>
      <c r="C5" s="159"/>
      <c r="D5" s="181" t="s">
        <v>179</v>
      </c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/>
      <c r="B6" s="163"/>
      <c r="C6" s="164"/>
      <c r="D6" s="160" t="s">
        <v>184</v>
      </c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883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/>
      <c r="B7" s="165"/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33000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3300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5.2" x14ac:dyDescent="0.35">
      <c r="A9" s="169" t="s">
        <v>167</v>
      </c>
      <c r="B9" s="108"/>
      <c r="C9" s="108"/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67"/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67"/>
      <c r="H11" s="108"/>
      <c r="I11" s="108"/>
      <c r="J11" s="108"/>
      <c r="K11" s="131" t="s">
        <v>62</v>
      </c>
      <c r="L11" s="143">
        <v>2000</v>
      </c>
      <c r="M11" s="144" t="s">
        <v>44</v>
      </c>
      <c r="N11" s="172" t="s">
        <v>104</v>
      </c>
      <c r="P11" s="145"/>
      <c r="Q11" s="131" t="s">
        <v>52</v>
      </c>
      <c r="R11" s="132">
        <v>10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100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1500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BFBED2-993D-49C8-ACC0-AFFEDBAED066}">
          <x14:formula1>
            <xm:f>'Base de données'!$G$2:$G$4</xm:f>
          </x14:formula1>
          <xm:sqref>L7</xm:sqref>
        </x14:dataValidation>
        <x14:dataValidation type="list" allowBlank="1" showInputMessage="1" showErrorMessage="1" xr:uid="{8C8E9F18-A487-45A9-93EF-7D9ABFA2F426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81CC1724-E899-464B-9F88-62C1C1E1D7BD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5448-8DB2-4367-8E18-C16ED96446ED}">
  <sheetPr codeName="Sheet33"/>
  <dimension ref="A1:AA36"/>
  <sheetViews>
    <sheetView zoomScale="98" zoomScaleNormal="98" workbookViewId="0">
      <selection activeCell="D6" sqref="D6:G6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183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1100</v>
      </c>
      <c r="Y2" s="136" t="s">
        <v>57</v>
      </c>
      <c r="Z2" s="115" t="s">
        <v>140</v>
      </c>
    </row>
    <row r="3" spans="1:26" ht="25.05" customHeight="1" thickBot="1" x14ac:dyDescent="0.35">
      <c r="A3" s="137"/>
      <c r="B3" s="138"/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</v>
      </c>
      <c r="Y3" s="149"/>
      <c r="Z3" s="125" t="s">
        <v>60</v>
      </c>
    </row>
    <row r="4" spans="1:26" ht="25.05" customHeight="1" thickBot="1" x14ac:dyDescent="0.4">
      <c r="A4" s="150" t="s">
        <v>165</v>
      </c>
      <c r="D4" s="180" t="s">
        <v>166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903</v>
      </c>
      <c r="Y4" s="155" t="s">
        <v>33</v>
      </c>
      <c r="Z4" s="156" t="s">
        <v>81</v>
      </c>
    </row>
    <row r="5" spans="1:26" ht="36.6" x14ac:dyDescent="0.3">
      <c r="A5" s="157"/>
      <c r="B5" s="158"/>
      <c r="C5" s="159"/>
      <c r="D5" s="181" t="s">
        <v>179</v>
      </c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/>
      <c r="B6" s="163"/>
      <c r="C6" s="164"/>
      <c r="D6" s="160" t="s">
        <v>184</v>
      </c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883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/>
      <c r="B7" s="165"/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33000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3300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5.2" x14ac:dyDescent="0.35">
      <c r="A9" s="169" t="s">
        <v>167</v>
      </c>
      <c r="B9" s="108"/>
      <c r="C9" s="108"/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67"/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67"/>
      <c r="H11" s="108"/>
      <c r="I11" s="108"/>
      <c r="J11" s="108"/>
      <c r="K11" s="131" t="s">
        <v>62</v>
      </c>
      <c r="L11" s="143">
        <v>2000</v>
      </c>
      <c r="M11" s="144" t="s">
        <v>44</v>
      </c>
      <c r="N11" s="172" t="s">
        <v>104</v>
      </c>
      <c r="P11" s="145"/>
      <c r="Q11" s="131" t="s">
        <v>52</v>
      </c>
      <c r="R11" s="132">
        <v>10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100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1500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869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67FCAC-03A8-4617-9DB4-BC99ACFF0188}">
          <x14:formula1>
            <xm:f>'Base de données'!$G$2:$G$4</xm:f>
          </x14:formula1>
          <xm:sqref>L7</xm:sqref>
        </x14:dataValidation>
        <x14:dataValidation type="list" allowBlank="1" showInputMessage="1" showErrorMessage="1" xr:uid="{FB29955B-7F42-4F19-9690-EA7F51A2E140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5CF0A73B-06B6-410B-979F-01525571549C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53C9C-A7A1-431A-B750-0C5D43B43486}">
  <sheetPr codeName="Sheet32"/>
  <dimension ref="A1:AA36"/>
  <sheetViews>
    <sheetView zoomScale="98" zoomScaleNormal="98" workbookViewId="0">
      <selection activeCell="D6" sqref="D6:G6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181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1100</v>
      </c>
      <c r="Y2" s="136" t="s">
        <v>57</v>
      </c>
      <c r="Z2" s="115" t="s">
        <v>140</v>
      </c>
    </row>
    <row r="3" spans="1:26" ht="25.05" customHeight="1" thickBot="1" x14ac:dyDescent="0.35">
      <c r="A3" s="137"/>
      <c r="B3" s="138"/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</v>
      </c>
      <c r="Y3" s="149"/>
      <c r="Z3" s="125" t="s">
        <v>60</v>
      </c>
    </row>
    <row r="4" spans="1:26" ht="25.05" customHeight="1" thickBot="1" x14ac:dyDescent="0.4">
      <c r="A4" s="150" t="s">
        <v>165</v>
      </c>
      <c r="D4" s="180" t="s">
        <v>166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903</v>
      </c>
      <c r="Y4" s="155" t="s">
        <v>33</v>
      </c>
      <c r="Z4" s="156" t="s">
        <v>81</v>
      </c>
    </row>
    <row r="5" spans="1:26" ht="36.6" x14ac:dyDescent="0.3">
      <c r="A5" s="157"/>
      <c r="B5" s="158"/>
      <c r="C5" s="159"/>
      <c r="D5" s="181" t="s">
        <v>179</v>
      </c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/>
      <c r="B6" s="163"/>
      <c r="C6" s="164"/>
      <c r="D6" s="160" t="s">
        <v>182</v>
      </c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f>610+273</f>
        <v>883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/>
      <c r="B7" s="165"/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33000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3300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5.2" x14ac:dyDescent="0.35">
      <c r="A9" s="169" t="s">
        <v>167</v>
      </c>
      <c r="B9" s="108"/>
      <c r="C9" s="108"/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67"/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67"/>
      <c r="H11" s="108"/>
      <c r="I11" s="108"/>
      <c r="J11" s="108"/>
      <c r="K11" s="131" t="s">
        <v>62</v>
      </c>
      <c r="L11" s="143">
        <v>2000</v>
      </c>
      <c r="M11" s="144" t="s">
        <v>44</v>
      </c>
      <c r="N11" s="172" t="s">
        <v>104</v>
      </c>
      <c r="P11" s="145"/>
      <c r="Q11" s="131" t="s">
        <v>52</v>
      </c>
      <c r="R11" s="132">
        <v>20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50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900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766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1C7CA90-3CD0-4DAB-8DF0-C92ADB16CF84}">
          <x14:formula1>
            <xm:f>'Base de données'!$G$2:$G$4</xm:f>
          </x14:formula1>
          <xm:sqref>L7</xm:sqref>
        </x14:dataValidation>
        <x14:dataValidation type="list" allowBlank="1" showInputMessage="1" showErrorMessage="1" xr:uid="{98CBB2A0-D412-4BE1-B357-C176DA0634AF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4E80EEBA-85CB-4BB0-98C6-F65414C6D598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FA77F-A5AE-4D03-9AF6-292B8A4A470C}">
  <sheetPr codeName="Sheet31"/>
  <dimension ref="A1:AA36"/>
  <sheetViews>
    <sheetView zoomScale="98" zoomScaleNormal="98" workbookViewId="0">
      <selection activeCell="L11" sqref="L11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178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1100</v>
      </c>
      <c r="Y2" s="136" t="s">
        <v>57</v>
      </c>
      <c r="Z2" s="115" t="s">
        <v>140</v>
      </c>
    </row>
    <row r="3" spans="1:26" ht="25.05" customHeight="1" thickBot="1" x14ac:dyDescent="0.35">
      <c r="A3" s="137"/>
      <c r="B3" s="138"/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</v>
      </c>
      <c r="Y3" s="149"/>
      <c r="Z3" s="125" t="s">
        <v>60</v>
      </c>
    </row>
    <row r="4" spans="1:26" ht="25.05" customHeight="1" thickBot="1" x14ac:dyDescent="0.4">
      <c r="A4" s="150" t="s">
        <v>165</v>
      </c>
      <c r="D4" s="180" t="s">
        <v>166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0</v>
      </c>
      <c r="Y4" s="155" t="s">
        <v>33</v>
      </c>
      <c r="Z4" s="156" t="s">
        <v>81</v>
      </c>
    </row>
    <row r="5" spans="1:26" ht="36.6" x14ac:dyDescent="0.3">
      <c r="A5" s="157"/>
      <c r="B5" s="158"/>
      <c r="C5" s="159"/>
      <c r="D5" s="181" t="s">
        <v>179</v>
      </c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/>
      <c r="B6" s="163"/>
      <c r="C6" s="164"/>
      <c r="D6" s="160" t="s">
        <v>180</v>
      </c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903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/>
      <c r="B7" s="165"/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33000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3300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5.2" x14ac:dyDescent="0.35">
      <c r="A9" s="169" t="s">
        <v>167</v>
      </c>
      <c r="B9" s="108"/>
      <c r="C9" s="108"/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67"/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67"/>
      <c r="H11" s="108"/>
      <c r="I11" s="108"/>
      <c r="J11" s="108"/>
      <c r="K11" s="131" t="s">
        <v>62</v>
      </c>
      <c r="L11" s="143">
        <v>100</v>
      </c>
      <c r="M11" s="144" t="s">
        <v>44</v>
      </c>
      <c r="N11" s="172" t="s">
        <v>104</v>
      </c>
      <c r="P11" s="145"/>
      <c r="Q11" s="131" t="s">
        <v>52</v>
      </c>
      <c r="R11" s="132">
        <v>10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50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900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6642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5AEF51D-AEE3-4E11-B69E-5D1807F48E86}">
          <x14:formula1>
            <xm:f>'Base de données'!$G$2:$G$4</xm:f>
          </x14:formula1>
          <xm:sqref>L7</xm:sqref>
        </x14:dataValidation>
        <x14:dataValidation type="list" allowBlank="1" showInputMessage="1" showErrorMessage="1" xr:uid="{04512CC3-988E-40BD-BF21-39156F4A0DBE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3D439AEA-79B1-4026-9740-C3CECFDD1896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A8C49-4311-43C8-A059-E26A30672244}">
  <sheetPr codeName="Sheet30"/>
  <dimension ref="A1:AA36"/>
  <sheetViews>
    <sheetView zoomScale="98" zoomScaleNormal="98" workbookViewId="0">
      <selection activeCell="X5" sqref="X5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177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1100</v>
      </c>
      <c r="Y2" s="136" t="s">
        <v>57</v>
      </c>
      <c r="Z2" s="115" t="s">
        <v>140</v>
      </c>
    </row>
    <row r="3" spans="1:26" ht="25.05" customHeight="1" thickBot="1" x14ac:dyDescent="0.35">
      <c r="A3" s="137"/>
      <c r="B3" s="138"/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</v>
      </c>
      <c r="Y3" s="149"/>
      <c r="Z3" s="125" t="s">
        <v>60</v>
      </c>
    </row>
    <row r="4" spans="1:26" ht="25.05" customHeight="1" thickBot="1" x14ac:dyDescent="0.4">
      <c r="A4" s="150" t="s">
        <v>165</v>
      </c>
      <c r="D4" s="180" t="s">
        <v>166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0</v>
      </c>
      <c r="Y4" s="155" t="s">
        <v>33</v>
      </c>
      <c r="Z4" s="156" t="s">
        <v>81</v>
      </c>
    </row>
    <row r="5" spans="1:26" ht="36.6" x14ac:dyDescent="0.3">
      <c r="A5" s="157"/>
      <c r="B5" s="158"/>
      <c r="C5" s="159"/>
      <c r="D5" s="181" t="s">
        <v>176</v>
      </c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/>
      <c r="B6" s="163"/>
      <c r="C6" s="164"/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903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/>
      <c r="B7" s="165"/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33000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3300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5.2" x14ac:dyDescent="0.35">
      <c r="A9" s="169" t="s">
        <v>167</v>
      </c>
      <c r="B9" s="108"/>
      <c r="C9" s="108"/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67"/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67"/>
      <c r="H11" s="108"/>
      <c r="I11" s="108"/>
      <c r="J11" s="108"/>
      <c r="K11" s="131" t="s">
        <v>62</v>
      </c>
      <c r="L11" s="143">
        <v>100</v>
      </c>
      <c r="M11" s="144" t="s">
        <v>44</v>
      </c>
      <c r="N11" s="172" t="s">
        <v>104</v>
      </c>
      <c r="P11" s="145"/>
      <c r="Q11" s="131" t="s">
        <v>52</v>
      </c>
      <c r="R11" s="132">
        <v>10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50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900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561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DDEDEF-8940-4B6D-B386-34A7A2938A21}">
          <x14:formula1>
            <xm:f>'Base de données'!$G$2:$G$4</xm:f>
          </x14:formula1>
          <xm:sqref>L7</xm:sqref>
        </x14:dataValidation>
        <x14:dataValidation type="list" allowBlank="1" showInputMessage="1" showErrorMessage="1" xr:uid="{B5A30172-7458-47B5-990F-B360E3B1B647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934B7629-2DF6-4AB5-9DEF-7B37F0B97502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301A9-8D06-4AE1-8D1C-5D1AEF05EA0A}">
  <sheetPr codeName="Sheet29"/>
  <dimension ref="A1:AA36"/>
  <sheetViews>
    <sheetView zoomScale="98" zoomScaleNormal="98" workbookViewId="0">
      <selection activeCell="X4" sqref="X4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175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175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1100</v>
      </c>
      <c r="Y2" s="136" t="s">
        <v>57</v>
      </c>
      <c r="Z2" s="115" t="s">
        <v>140</v>
      </c>
    </row>
    <row r="3" spans="1:26" ht="25.05" customHeight="1" thickBot="1" x14ac:dyDescent="0.35">
      <c r="A3" s="137"/>
      <c r="B3" s="138"/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</v>
      </c>
      <c r="Y3" s="149"/>
      <c r="Z3" s="125" t="s">
        <v>60</v>
      </c>
    </row>
    <row r="4" spans="1:26" ht="25.05" customHeight="1" thickBot="1" x14ac:dyDescent="0.4">
      <c r="A4" s="150" t="s">
        <v>165</v>
      </c>
      <c r="D4" s="180" t="s">
        <v>166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900</v>
      </c>
      <c r="Y4" s="155" t="s">
        <v>33</v>
      </c>
      <c r="Z4" s="156" t="s">
        <v>81</v>
      </c>
    </row>
    <row r="5" spans="1:26" ht="36.6" x14ac:dyDescent="0.3">
      <c r="A5" s="157"/>
      <c r="B5" s="158"/>
      <c r="C5" s="159"/>
      <c r="D5" s="181" t="s">
        <v>176</v>
      </c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</v>
      </c>
      <c r="S5" s="124"/>
      <c r="T5" s="115" t="s">
        <v>60</v>
      </c>
      <c r="V5" s="133">
        <v>2</v>
      </c>
      <c r="W5" s="134" t="s">
        <v>52</v>
      </c>
      <c r="X5" s="135"/>
      <c r="Y5" s="136" t="s">
        <v>57</v>
      </c>
      <c r="Z5" s="162"/>
    </row>
    <row r="6" spans="1:26" ht="36.6" x14ac:dyDescent="0.3">
      <c r="A6" s="122"/>
      <c r="B6" s="163"/>
      <c r="C6" s="164"/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903</v>
      </c>
      <c r="S6" s="124" t="s">
        <v>33</v>
      </c>
      <c r="T6" s="115"/>
      <c r="V6" s="146"/>
      <c r="W6" s="147" t="s">
        <v>61</v>
      </c>
      <c r="X6" s="148"/>
      <c r="Y6" s="149"/>
      <c r="Z6" s="125"/>
    </row>
    <row r="7" spans="1:26" ht="25.05" customHeight="1" thickBot="1" x14ac:dyDescent="0.35">
      <c r="A7" s="139"/>
      <c r="B7" s="165"/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33000</v>
      </c>
      <c r="S7" s="124" t="s">
        <v>57</v>
      </c>
      <c r="T7" s="115"/>
      <c r="V7" s="152"/>
      <c r="W7" s="153" t="s">
        <v>53</v>
      </c>
      <c r="X7" s="154"/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3300</v>
      </c>
      <c r="S8" s="124" t="s">
        <v>57</v>
      </c>
      <c r="T8" s="115" t="s">
        <v>140</v>
      </c>
      <c r="V8" s="133">
        <v>3</v>
      </c>
      <c r="W8" s="134" t="s">
        <v>52</v>
      </c>
      <c r="X8" s="135"/>
      <c r="Y8" s="136" t="s">
        <v>57</v>
      </c>
      <c r="Z8" s="162"/>
    </row>
    <row r="9" spans="1:26" ht="25.2" x14ac:dyDescent="0.35">
      <c r="A9" s="169" t="s">
        <v>167</v>
      </c>
      <c r="B9" s="108"/>
      <c r="C9" s="108"/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1030</v>
      </c>
      <c r="S9" s="124" t="s">
        <v>45</v>
      </c>
      <c r="T9" s="115" t="s">
        <v>139</v>
      </c>
      <c r="V9" s="146"/>
      <c r="W9" s="147" t="s">
        <v>61</v>
      </c>
      <c r="X9" s="148"/>
      <c r="Y9" s="149"/>
      <c r="Z9" s="125"/>
    </row>
    <row r="10" spans="1:26" ht="25.05" customHeight="1" thickBot="1" x14ac:dyDescent="0.35">
      <c r="A10" s="167"/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/>
      <c r="Y10" s="155" t="s">
        <v>33</v>
      </c>
      <c r="Z10" s="156"/>
    </row>
    <row r="11" spans="1:26" ht="25.05" customHeight="1" x14ac:dyDescent="0.3">
      <c r="A11" s="167"/>
      <c r="H11" s="108"/>
      <c r="I11" s="108"/>
      <c r="J11" s="108"/>
      <c r="K11" s="131" t="s">
        <v>62</v>
      </c>
      <c r="L11" s="143">
        <v>100</v>
      </c>
      <c r="M11" s="144" t="s">
        <v>44</v>
      </c>
      <c r="N11" s="172" t="s">
        <v>104</v>
      </c>
      <c r="P11" s="145"/>
      <c r="Q11" s="131" t="s">
        <v>52</v>
      </c>
      <c r="R11" s="132">
        <v>10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67"/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67"/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1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50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900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459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7BB9DC-2695-4843-9C90-A532EA28E1F3}">
          <x14:formula1>
            <xm:f>'Base de données'!$G$2:$G$4</xm:f>
          </x14:formula1>
          <xm:sqref>L7</xm:sqref>
        </x14:dataValidation>
        <x14:dataValidation type="list" allowBlank="1" showInputMessage="1" showErrorMessage="1" xr:uid="{01990BB2-AC53-400B-919C-822207480946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015C1F25-D132-4555-8A85-7EFD9ED044ED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C0CE6-0084-4174-AAD3-995BCC7A1668}">
  <sheetPr codeName="Sheet28"/>
  <dimension ref="A1:AA36"/>
  <sheetViews>
    <sheetView topLeftCell="A39" zoomScale="98" zoomScaleNormal="98" workbookViewId="0">
      <selection activeCell="N10" sqref="N10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171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170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2000</v>
      </c>
      <c r="Y2" s="136" t="s">
        <v>57</v>
      </c>
      <c r="Z2" s="115" t="s">
        <v>140</v>
      </c>
    </row>
    <row r="3" spans="1:26" ht="25.05" customHeight="1" thickBot="1" x14ac:dyDescent="0.35">
      <c r="A3" s="137" t="s">
        <v>168</v>
      </c>
      <c r="B3" s="138">
        <v>33</v>
      </c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1000</v>
      </c>
      <c r="S3" s="124" t="s">
        <v>45</v>
      </c>
      <c r="T3" s="115" t="s">
        <v>59</v>
      </c>
      <c r="V3" s="146"/>
      <c r="W3" s="147" t="s">
        <v>61</v>
      </c>
      <c r="X3" s="148">
        <v>0.15</v>
      </c>
      <c r="Y3" s="149"/>
      <c r="Z3" s="125" t="s">
        <v>60</v>
      </c>
    </row>
    <row r="4" spans="1:26" ht="25.05" customHeight="1" thickBot="1" x14ac:dyDescent="0.4">
      <c r="A4" s="150" t="s">
        <v>165</v>
      </c>
      <c r="D4" s="180" t="s">
        <v>112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700</v>
      </c>
      <c r="Y4" s="155" t="s">
        <v>33</v>
      </c>
      <c r="Z4" s="156" t="s">
        <v>81</v>
      </c>
    </row>
    <row r="5" spans="1:26" ht="36.6" x14ac:dyDescent="0.3">
      <c r="A5" s="157" t="s">
        <v>31</v>
      </c>
      <c r="B5" s="158">
        <v>562.66150000000005</v>
      </c>
      <c r="C5" s="159" t="s">
        <v>80</v>
      </c>
      <c r="D5" s="160"/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0.1</v>
      </c>
      <c r="S5" s="124"/>
      <c r="T5" s="115" t="s">
        <v>60</v>
      </c>
      <c r="V5" s="133">
        <v>2</v>
      </c>
      <c r="W5" s="134" t="s">
        <v>52</v>
      </c>
      <c r="X5" s="135">
        <v>1000</v>
      </c>
      <c r="Y5" s="136" t="s">
        <v>57</v>
      </c>
      <c r="Z5" s="162"/>
    </row>
    <row r="6" spans="1:26" ht="36.6" x14ac:dyDescent="0.3">
      <c r="A6" s="122" t="s">
        <v>90</v>
      </c>
      <c r="B6" s="163">
        <v>516.11</v>
      </c>
      <c r="C6" s="164" t="s">
        <v>44</v>
      </c>
      <c r="D6" s="181" t="s">
        <v>174</v>
      </c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750</v>
      </c>
      <c r="S6" s="124" t="s">
        <v>33</v>
      </c>
      <c r="T6" s="115"/>
      <c r="V6" s="146"/>
      <c r="W6" s="147" t="s">
        <v>61</v>
      </c>
      <c r="X6" s="148">
        <v>0</v>
      </c>
      <c r="Y6" s="149"/>
      <c r="Z6" s="125"/>
    </row>
    <row r="7" spans="1:26" ht="25.05" customHeight="1" thickBot="1" x14ac:dyDescent="0.35">
      <c r="A7" s="139" t="s">
        <v>21</v>
      </c>
      <c r="B7" s="165">
        <v>0.35959999999999998</v>
      </c>
      <c r="C7" s="166"/>
      <c r="D7" s="160" t="s">
        <v>159</v>
      </c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14000</v>
      </c>
      <c r="S7" s="124" t="s">
        <v>57</v>
      </c>
      <c r="T7" s="115"/>
      <c r="V7" s="152"/>
      <c r="W7" s="153" t="s">
        <v>53</v>
      </c>
      <c r="X7" s="154">
        <v>700</v>
      </c>
      <c r="Y7" s="155" t="s">
        <v>33</v>
      </c>
      <c r="Z7" s="156"/>
    </row>
    <row r="8" spans="1:26" ht="25.05" customHeight="1" x14ac:dyDescent="0.3">
      <c r="A8" s="167"/>
      <c r="D8" s="181" t="s">
        <v>160</v>
      </c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4000</v>
      </c>
      <c r="S8" s="124" t="s">
        <v>57</v>
      </c>
      <c r="T8" s="115" t="s">
        <v>140</v>
      </c>
      <c r="V8" s="133">
        <v>3</v>
      </c>
      <c r="W8" s="134" t="s">
        <v>52</v>
      </c>
      <c r="X8" s="135">
        <v>500</v>
      </c>
      <c r="Y8" s="136" t="s">
        <v>57</v>
      </c>
      <c r="Z8" s="162"/>
    </row>
    <row r="9" spans="1:26" ht="29.4" x14ac:dyDescent="0.35">
      <c r="A9" s="169" t="s">
        <v>167</v>
      </c>
      <c r="B9" s="170" t="s">
        <v>101</v>
      </c>
      <c r="C9" s="170" t="s">
        <v>100</v>
      </c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1000</v>
      </c>
      <c r="S9" s="124" t="s">
        <v>45</v>
      </c>
      <c r="T9" s="115" t="s">
        <v>139</v>
      </c>
      <c r="V9" s="146"/>
      <c r="W9" s="147" t="s">
        <v>61</v>
      </c>
      <c r="X9" s="148">
        <v>0.15</v>
      </c>
      <c r="Y9" s="149"/>
      <c r="Z9" s="125"/>
    </row>
    <row r="10" spans="1:26" ht="25.05" customHeight="1" thickBot="1" x14ac:dyDescent="0.35">
      <c r="A10" s="171" t="s">
        <v>91</v>
      </c>
      <c r="B10" s="171">
        <v>830</v>
      </c>
      <c r="C10" s="171">
        <v>22</v>
      </c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>
        <v>700</v>
      </c>
      <c r="Y10" s="155" t="s">
        <v>33</v>
      </c>
      <c r="Z10" s="156"/>
    </row>
    <row r="11" spans="1:26" ht="25.05" customHeight="1" x14ac:dyDescent="0.3">
      <c r="A11" s="171" t="s">
        <v>92</v>
      </c>
      <c r="B11" s="171">
        <v>870</v>
      </c>
      <c r="C11" s="171">
        <v>23</v>
      </c>
      <c r="H11" s="108"/>
      <c r="I11" s="108"/>
      <c r="J11" s="108"/>
      <c r="K11" s="131" t="s">
        <v>62</v>
      </c>
      <c r="L11" s="143">
        <v>100</v>
      </c>
      <c r="M11" s="144" t="s">
        <v>44</v>
      </c>
      <c r="N11" s="172" t="s">
        <v>104</v>
      </c>
      <c r="P11" s="145"/>
      <c r="Q11" s="131" t="s">
        <v>52</v>
      </c>
      <c r="R11" s="132">
        <v>20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71" t="s">
        <v>93</v>
      </c>
      <c r="B12" s="171">
        <v>878</v>
      </c>
      <c r="C12" s="171">
        <v>23</v>
      </c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700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71" t="s">
        <v>103</v>
      </c>
      <c r="B13" s="171">
        <v>878</v>
      </c>
      <c r="C13" s="171">
        <v>23</v>
      </c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3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50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900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357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1B6252C-B868-46EF-8A63-1E6962CE2127}">
          <x14:formula1>
            <xm:f>'Base de données'!$G$2:$G$4</xm:f>
          </x14:formula1>
          <xm:sqref>L7</xm:sqref>
        </x14:dataValidation>
        <x14:dataValidation type="list" allowBlank="1" showInputMessage="1" showErrorMessage="1" xr:uid="{F6C7B508-79B7-4CA4-8E63-BD2DC1C2F04C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39C49408-E168-4FFD-9E6B-981744DCEF12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6AF4-57B8-42D8-AE30-E50613030FC8}">
  <sheetPr codeName="Sheet27"/>
  <dimension ref="A1:AA36"/>
  <sheetViews>
    <sheetView topLeftCell="A38" zoomScale="98" zoomScaleNormal="98" workbookViewId="0">
      <selection activeCell="I8" sqref="I8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170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170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570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2000</v>
      </c>
      <c r="Y2" s="136" t="s">
        <v>57</v>
      </c>
      <c r="Z2" s="115" t="s">
        <v>140</v>
      </c>
    </row>
    <row r="3" spans="1:26" ht="25.05" customHeight="1" thickBot="1" x14ac:dyDescent="0.35">
      <c r="A3" s="137" t="s">
        <v>168</v>
      </c>
      <c r="B3" s="138">
        <v>32</v>
      </c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1000</v>
      </c>
      <c r="S3" s="124" t="s">
        <v>45</v>
      </c>
      <c r="T3" s="115" t="s">
        <v>59</v>
      </c>
      <c r="V3" s="146"/>
      <c r="W3" s="147" t="s">
        <v>61</v>
      </c>
      <c r="X3" s="148">
        <v>0.15</v>
      </c>
      <c r="Y3" s="149"/>
      <c r="Z3" s="125" t="s">
        <v>60</v>
      </c>
    </row>
    <row r="4" spans="1:26" ht="25.05" customHeight="1" thickBot="1" x14ac:dyDescent="0.4">
      <c r="A4" s="150" t="s">
        <v>165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700</v>
      </c>
      <c r="Y4" s="155" t="s">
        <v>33</v>
      </c>
      <c r="Z4" s="156" t="s">
        <v>81</v>
      </c>
    </row>
    <row r="5" spans="1:26" ht="36.6" x14ac:dyDescent="0.3">
      <c r="A5" s="157" t="s">
        <v>31</v>
      </c>
      <c r="B5" s="158">
        <v>715.68949999999995</v>
      </c>
      <c r="C5" s="159" t="s">
        <v>80</v>
      </c>
      <c r="D5" s="160"/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0.1</v>
      </c>
      <c r="S5" s="124"/>
      <c r="T5" s="115" t="s">
        <v>60</v>
      </c>
      <c r="V5" s="133">
        <v>2</v>
      </c>
      <c r="W5" s="134" t="s">
        <v>52</v>
      </c>
      <c r="X5" s="135">
        <v>1000</v>
      </c>
      <c r="Y5" s="136" t="s">
        <v>57</v>
      </c>
      <c r="Z5" s="162"/>
    </row>
    <row r="6" spans="1:26" ht="36.6" x14ac:dyDescent="0.3">
      <c r="A6" s="122" t="s">
        <v>90</v>
      </c>
      <c r="B6" s="163">
        <v>652.54</v>
      </c>
      <c r="C6" s="164" t="s">
        <v>44</v>
      </c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750</v>
      </c>
      <c r="S6" s="124" t="s">
        <v>33</v>
      </c>
      <c r="T6" s="115"/>
      <c r="V6" s="146"/>
      <c r="W6" s="147" t="s">
        <v>61</v>
      </c>
      <c r="X6" s="148">
        <v>0</v>
      </c>
      <c r="Y6" s="149"/>
      <c r="Z6" s="125"/>
    </row>
    <row r="7" spans="1:26" ht="25.05" customHeight="1" thickBot="1" x14ac:dyDescent="0.35">
      <c r="A7" s="139" t="s">
        <v>21</v>
      </c>
      <c r="B7" s="165">
        <v>0.36120000000000002</v>
      </c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14000</v>
      </c>
      <c r="S7" s="124" t="s">
        <v>57</v>
      </c>
      <c r="T7" s="115"/>
      <c r="V7" s="152"/>
      <c r="W7" s="153" t="s">
        <v>53</v>
      </c>
      <c r="X7" s="154">
        <v>700</v>
      </c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4000</v>
      </c>
      <c r="S8" s="124" t="s">
        <v>57</v>
      </c>
      <c r="T8" s="115" t="s">
        <v>140</v>
      </c>
      <c r="V8" s="133">
        <v>3</v>
      </c>
      <c r="W8" s="134" t="s">
        <v>52</v>
      </c>
      <c r="X8" s="135">
        <v>500</v>
      </c>
      <c r="Y8" s="136" t="s">
        <v>57</v>
      </c>
      <c r="Z8" s="162"/>
    </row>
    <row r="9" spans="1:26" ht="29.4" x14ac:dyDescent="0.35">
      <c r="A9" s="169" t="s">
        <v>167</v>
      </c>
      <c r="B9" s="170" t="s">
        <v>101</v>
      </c>
      <c r="C9" s="170" t="s">
        <v>100</v>
      </c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1000</v>
      </c>
      <c r="S9" s="124" t="s">
        <v>45</v>
      </c>
      <c r="T9" s="115" t="s">
        <v>139</v>
      </c>
      <c r="V9" s="146"/>
      <c r="W9" s="147" t="s">
        <v>61</v>
      </c>
      <c r="X9" s="148">
        <v>0.15</v>
      </c>
      <c r="Y9" s="149"/>
      <c r="Z9" s="125"/>
    </row>
    <row r="10" spans="1:26" ht="25.05" customHeight="1" thickBot="1" x14ac:dyDescent="0.35">
      <c r="A10" s="171" t="s">
        <v>91</v>
      </c>
      <c r="B10" s="171">
        <v>990</v>
      </c>
      <c r="C10" s="171">
        <v>26</v>
      </c>
      <c r="H10" s="108"/>
      <c r="I10" s="108"/>
      <c r="J10" s="108" t="s">
        <v>173</v>
      </c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>
        <v>700</v>
      </c>
      <c r="Y10" s="155" t="s">
        <v>33</v>
      </c>
      <c r="Z10" s="156"/>
    </row>
    <row r="11" spans="1:26" ht="25.05" customHeight="1" x14ac:dyDescent="0.3">
      <c r="A11" s="171" t="s">
        <v>92</v>
      </c>
      <c r="B11" s="171">
        <v>1038</v>
      </c>
      <c r="C11" s="171">
        <v>28</v>
      </c>
      <c r="H11" s="108"/>
      <c r="I11" s="108"/>
      <c r="J11" s="108"/>
      <c r="K11" s="131" t="s">
        <v>62</v>
      </c>
      <c r="L11" s="143">
        <v>100</v>
      </c>
      <c r="M11" s="144" t="s">
        <v>44</v>
      </c>
      <c r="N11" s="172" t="s">
        <v>104</v>
      </c>
      <c r="P11" s="145"/>
      <c r="Q11" s="131" t="s">
        <v>52</v>
      </c>
      <c r="R11" s="132">
        <v>20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71" t="s">
        <v>93</v>
      </c>
      <c r="B12" s="171">
        <v>1049</v>
      </c>
      <c r="C12" s="171">
        <v>28</v>
      </c>
      <c r="H12" s="108"/>
      <c r="I12" s="108"/>
      <c r="J12" s="108"/>
      <c r="K12" s="131" t="s">
        <v>63</v>
      </c>
      <c r="L12" s="143">
        <v>293</v>
      </c>
      <c r="M12" s="144" t="s">
        <v>33</v>
      </c>
      <c r="N12" s="115" t="s">
        <v>137</v>
      </c>
      <c r="P12" s="168"/>
      <c r="Q12" s="131" t="s">
        <v>53</v>
      </c>
      <c r="R12" s="132">
        <v>700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71" t="s">
        <v>103</v>
      </c>
      <c r="B13" s="171">
        <v>1049</v>
      </c>
      <c r="C13" s="171">
        <v>28</v>
      </c>
      <c r="H13" s="108"/>
      <c r="I13" s="108"/>
      <c r="J13" s="108"/>
      <c r="K13" s="131" t="s">
        <v>64</v>
      </c>
      <c r="L13" s="143">
        <v>313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3</v>
      </c>
      <c r="S13" s="124"/>
      <c r="T13" s="115" t="s">
        <v>141</v>
      </c>
      <c r="V13" s="152"/>
      <c r="W13" s="131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50</v>
      </c>
      <c r="M14" s="144" t="s">
        <v>44</v>
      </c>
      <c r="N14" s="115" t="s">
        <v>73</v>
      </c>
      <c r="V14" s="133">
        <v>5</v>
      </c>
      <c r="W14" s="173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900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19">
    <mergeCell ref="V23:V25"/>
    <mergeCell ref="V26:V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4C4870-FB21-4581-AC79-9030E5DA960C}">
          <x14:formula1>
            <xm:f>'Base de données'!$G$2:$G$4</xm:f>
          </x14:formula1>
          <xm:sqref>L7</xm:sqref>
        </x14:dataValidation>
        <x14:dataValidation type="list" allowBlank="1" showInputMessage="1" showErrorMessage="1" xr:uid="{63859589-AB92-4362-BD74-8B2F2EB8FB2E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5322398C-332B-483D-A431-25BDA4E8D1BE}">
          <x14:formula1>
            <xm:f>'Base de données'!$B$2:$B$24</xm:f>
          </x14:formula1>
          <xm:sqref>L22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22767-90BE-4D89-9EC5-7F735ACA7D53}">
  <sheetPr codeName="Sheet26"/>
  <dimension ref="A1:AA36"/>
  <sheetViews>
    <sheetView zoomScale="98" zoomScaleNormal="98" workbookViewId="0">
      <selection sqref="A1:G13"/>
    </sheetView>
  </sheetViews>
  <sheetFormatPr defaultRowHeight="15.6" x14ac:dyDescent="0.3"/>
  <cols>
    <col min="1" max="1" width="26.33203125" style="112" customWidth="1"/>
    <col min="2" max="2" width="22.109375" style="112" customWidth="1"/>
    <col min="3" max="3" width="12.109375" style="112" customWidth="1"/>
    <col min="4" max="4" width="14.44140625" style="112" bestFit="1" customWidth="1"/>
    <col min="5" max="5" width="10.109375" style="112" customWidth="1"/>
    <col min="6" max="6" width="4.88671875" style="112" customWidth="1"/>
    <col min="7" max="7" width="20.33203125" style="151" customWidth="1"/>
    <col min="8" max="8" width="17.5546875" style="112" bestFit="1" customWidth="1"/>
    <col min="9" max="10" width="8.88671875" style="112" customWidth="1"/>
    <col min="11" max="11" width="37.109375" style="112" bestFit="1" customWidth="1"/>
    <col min="12" max="12" width="16.109375" style="112" bestFit="1" customWidth="1"/>
    <col min="13" max="13" width="4.5546875" style="112" bestFit="1" customWidth="1"/>
    <col min="14" max="14" width="24.77734375" style="112" bestFit="1" customWidth="1"/>
    <col min="15" max="15" width="8.88671875" style="112"/>
    <col min="16" max="16" width="19.5546875" style="112" bestFit="1" customWidth="1"/>
    <col min="17" max="17" width="27" style="112" bestFit="1" customWidth="1"/>
    <col min="18" max="18" width="12.5546875" style="112" bestFit="1" customWidth="1"/>
    <col min="19" max="19" width="4.33203125" style="112" bestFit="1" customWidth="1"/>
    <col min="20" max="20" width="35" style="112" bestFit="1" customWidth="1"/>
    <col min="21" max="21" width="8.88671875" style="112"/>
    <col min="22" max="22" width="5.44140625" style="116" customWidth="1"/>
    <col min="23" max="23" width="24.6640625" style="112" bestFit="1" customWidth="1"/>
    <col min="24" max="24" width="27.44140625" style="112" bestFit="1" customWidth="1"/>
    <col min="25" max="25" width="8.88671875" style="112"/>
    <col min="26" max="26" width="35" style="112" bestFit="1" customWidth="1"/>
    <col min="27" max="27" width="8.88671875" style="112"/>
    <col min="28" max="16384" width="8.88671875" style="21"/>
  </cols>
  <sheetData>
    <row r="1" spans="1:26" ht="33" customHeight="1" thickBot="1" x14ac:dyDescent="0.5">
      <c r="A1" s="101" t="s">
        <v>29</v>
      </c>
      <c r="B1" s="102"/>
      <c r="C1" s="102"/>
      <c r="D1" s="103"/>
      <c r="E1" s="104" t="s">
        <v>30</v>
      </c>
      <c r="F1" s="105"/>
      <c r="G1" s="106"/>
      <c r="H1" s="107" t="s">
        <v>28</v>
      </c>
      <c r="I1" s="107"/>
      <c r="J1" s="107"/>
      <c r="K1" s="108"/>
      <c r="L1" s="109" t="s">
        <v>27</v>
      </c>
      <c r="M1" s="110"/>
      <c r="N1" s="111" t="s">
        <v>34</v>
      </c>
      <c r="P1" s="108"/>
      <c r="Q1" s="108"/>
      <c r="R1" s="113" t="s">
        <v>86</v>
      </c>
      <c r="S1" s="114"/>
      <c r="T1" s="115" t="s">
        <v>34</v>
      </c>
      <c r="X1" s="117" t="s">
        <v>56</v>
      </c>
      <c r="Y1" s="118"/>
      <c r="Z1" s="119" t="s">
        <v>34</v>
      </c>
    </row>
    <row r="2" spans="1:26" ht="25.05" customHeight="1" thickBot="1" x14ac:dyDescent="0.35">
      <c r="A2" s="120" t="s">
        <v>145</v>
      </c>
      <c r="B2" s="121" t="s">
        <v>169</v>
      </c>
      <c r="D2" s="122" t="s">
        <v>31</v>
      </c>
      <c r="E2" s="123">
        <v>200</v>
      </c>
      <c r="F2" s="124" t="s">
        <v>80</v>
      </c>
      <c r="G2" s="125" t="s">
        <v>78</v>
      </c>
      <c r="H2" s="110" t="s">
        <v>144</v>
      </c>
      <c r="I2" s="126" t="s">
        <v>149</v>
      </c>
      <c r="J2" s="108"/>
      <c r="K2" s="127" t="s">
        <v>5</v>
      </c>
      <c r="L2" s="128">
        <v>0.2</v>
      </c>
      <c r="M2" s="129"/>
      <c r="N2" s="115" t="s">
        <v>35</v>
      </c>
      <c r="P2" s="130" t="s">
        <v>41</v>
      </c>
      <c r="Q2" s="131" t="s">
        <v>42</v>
      </c>
      <c r="R2" s="132">
        <v>400</v>
      </c>
      <c r="S2" s="124" t="s">
        <v>44</v>
      </c>
      <c r="T2" s="115" t="s">
        <v>58</v>
      </c>
      <c r="V2" s="133">
        <v>1</v>
      </c>
      <c r="W2" s="134" t="s">
        <v>52</v>
      </c>
      <c r="X2" s="135">
        <v>3000</v>
      </c>
      <c r="Y2" s="136" t="s">
        <v>57</v>
      </c>
      <c r="Z2" s="115" t="s">
        <v>140</v>
      </c>
    </row>
    <row r="3" spans="1:26" ht="25.05" customHeight="1" thickBot="1" x14ac:dyDescent="0.35">
      <c r="A3" s="137" t="s">
        <v>168</v>
      </c>
      <c r="B3" s="138">
        <v>30</v>
      </c>
      <c r="D3" s="139" t="s">
        <v>21</v>
      </c>
      <c r="E3" s="140"/>
      <c r="F3" s="141"/>
      <c r="G3" s="142" t="s">
        <v>79</v>
      </c>
      <c r="H3" s="108"/>
      <c r="I3" s="108"/>
      <c r="J3" s="108"/>
      <c r="K3" s="131" t="s">
        <v>6</v>
      </c>
      <c r="L3" s="143">
        <v>0.95</v>
      </c>
      <c r="M3" s="144"/>
      <c r="N3" s="115"/>
      <c r="P3" s="145"/>
      <c r="Q3" s="131" t="s">
        <v>43</v>
      </c>
      <c r="R3" s="132">
        <v>850</v>
      </c>
      <c r="S3" s="124" t="s">
        <v>45</v>
      </c>
      <c r="T3" s="115" t="s">
        <v>59</v>
      </c>
      <c r="V3" s="146"/>
      <c r="W3" s="147" t="s">
        <v>61</v>
      </c>
      <c r="X3" s="148">
        <v>0.15</v>
      </c>
      <c r="Y3" s="149"/>
      <c r="Z3" s="125" t="s">
        <v>60</v>
      </c>
    </row>
    <row r="4" spans="1:26" ht="25.05" customHeight="1" thickBot="1" x14ac:dyDescent="0.4">
      <c r="A4" s="150" t="s">
        <v>165</v>
      </c>
      <c r="H4" s="108"/>
      <c r="I4" s="108"/>
      <c r="J4" s="108"/>
      <c r="K4" s="131" t="s">
        <v>22</v>
      </c>
      <c r="L4" s="143">
        <v>0.98</v>
      </c>
      <c r="M4" s="144"/>
      <c r="N4" s="115"/>
      <c r="P4" s="145"/>
      <c r="Q4" s="131" t="s">
        <v>46</v>
      </c>
      <c r="R4" s="132">
        <v>2</v>
      </c>
      <c r="S4" s="124"/>
      <c r="T4" s="115"/>
      <c r="V4" s="152"/>
      <c r="W4" s="153" t="s">
        <v>53</v>
      </c>
      <c r="X4" s="154">
        <v>700</v>
      </c>
      <c r="Y4" s="155" t="s">
        <v>33</v>
      </c>
      <c r="Z4" s="156" t="s">
        <v>81</v>
      </c>
    </row>
    <row r="5" spans="1:26" ht="36.6" x14ac:dyDescent="0.3">
      <c r="A5" s="157" t="s">
        <v>31</v>
      </c>
      <c r="B5" s="158">
        <v>465.6404</v>
      </c>
      <c r="C5" s="159" t="s">
        <v>80</v>
      </c>
      <c r="D5" s="160"/>
      <c r="E5" s="160"/>
      <c r="F5" s="160"/>
      <c r="G5" s="161"/>
      <c r="H5" s="108"/>
      <c r="I5" s="108"/>
      <c r="J5" s="108"/>
      <c r="K5" s="131" t="s">
        <v>23</v>
      </c>
      <c r="L5" s="143">
        <v>2</v>
      </c>
      <c r="M5" s="144"/>
      <c r="N5" s="115" t="s">
        <v>135</v>
      </c>
      <c r="P5" s="145"/>
      <c r="Q5" s="131" t="s">
        <v>47</v>
      </c>
      <c r="R5" s="132">
        <v>0.1</v>
      </c>
      <c r="S5" s="124"/>
      <c r="T5" s="115" t="s">
        <v>60</v>
      </c>
      <c r="V5" s="133">
        <v>2</v>
      </c>
      <c r="W5" s="134" t="s">
        <v>52</v>
      </c>
      <c r="X5" s="135">
        <v>2000</v>
      </c>
      <c r="Y5" s="136" t="s">
        <v>57</v>
      </c>
      <c r="Z5" s="162"/>
    </row>
    <row r="6" spans="1:26" ht="36.6" x14ac:dyDescent="0.3">
      <c r="A6" s="122" t="s">
        <v>90</v>
      </c>
      <c r="B6" s="163">
        <v>444.73</v>
      </c>
      <c r="C6" s="164" t="s">
        <v>44</v>
      </c>
      <c r="D6" s="160"/>
      <c r="E6" s="160"/>
      <c r="F6" s="160"/>
      <c r="G6" s="161"/>
      <c r="H6" s="108"/>
      <c r="I6" s="108"/>
      <c r="J6" s="108"/>
      <c r="K6" s="131" t="s">
        <v>24</v>
      </c>
      <c r="L6" s="143">
        <v>10</v>
      </c>
      <c r="M6" s="144" t="s">
        <v>32</v>
      </c>
      <c r="N6" s="115" t="s">
        <v>132</v>
      </c>
      <c r="P6" s="145"/>
      <c r="Q6" s="131" t="s">
        <v>48</v>
      </c>
      <c r="R6" s="132">
        <v>750</v>
      </c>
      <c r="S6" s="124" t="s">
        <v>33</v>
      </c>
      <c r="T6" s="115"/>
      <c r="V6" s="146"/>
      <c r="W6" s="147" t="s">
        <v>61</v>
      </c>
      <c r="X6" s="148">
        <v>0</v>
      </c>
      <c r="Y6" s="149"/>
      <c r="Z6" s="125"/>
    </row>
    <row r="7" spans="1:26" ht="25.05" customHeight="1" thickBot="1" x14ac:dyDescent="0.35">
      <c r="A7" s="139" t="s">
        <v>21</v>
      </c>
      <c r="B7" s="165">
        <v>0.35420000000000001</v>
      </c>
      <c r="C7" s="166"/>
      <c r="D7" s="160"/>
      <c r="E7" s="160"/>
      <c r="F7" s="160"/>
      <c r="G7" s="161"/>
      <c r="H7" s="108"/>
      <c r="I7" s="108"/>
      <c r="J7" s="108"/>
      <c r="K7" s="131" t="s">
        <v>20</v>
      </c>
      <c r="L7" s="143" t="s">
        <v>0</v>
      </c>
      <c r="M7" s="144"/>
      <c r="N7" s="115" t="s">
        <v>133</v>
      </c>
      <c r="P7" s="145"/>
      <c r="Q7" s="131" t="s">
        <v>49</v>
      </c>
      <c r="R7" s="132">
        <v>14000</v>
      </c>
      <c r="S7" s="124" t="s">
        <v>57</v>
      </c>
      <c r="T7" s="115"/>
      <c r="V7" s="152"/>
      <c r="W7" s="153" t="s">
        <v>53</v>
      </c>
      <c r="X7" s="154">
        <v>700</v>
      </c>
      <c r="Y7" s="155" t="s">
        <v>33</v>
      </c>
      <c r="Z7" s="156"/>
    </row>
    <row r="8" spans="1:26" ht="25.05" customHeight="1" x14ac:dyDescent="0.3">
      <c r="A8" s="167"/>
      <c r="D8" s="160"/>
      <c r="E8" s="160"/>
      <c r="F8" s="160"/>
      <c r="G8" s="161"/>
      <c r="H8" s="108"/>
      <c r="I8" s="108"/>
      <c r="J8" s="108"/>
      <c r="K8" s="131" t="s">
        <v>25</v>
      </c>
      <c r="L8" s="143">
        <v>0.1</v>
      </c>
      <c r="M8" s="144" t="s">
        <v>32</v>
      </c>
      <c r="N8" s="115" t="s">
        <v>134</v>
      </c>
      <c r="P8" s="168"/>
      <c r="Q8" s="131" t="s">
        <v>50</v>
      </c>
      <c r="R8" s="132">
        <v>4000</v>
      </c>
      <c r="S8" s="124" t="s">
        <v>57</v>
      </c>
      <c r="T8" s="115" t="s">
        <v>140</v>
      </c>
      <c r="V8" s="133">
        <v>3</v>
      </c>
      <c r="W8" s="134" t="s">
        <v>52</v>
      </c>
      <c r="X8" s="135">
        <v>1000</v>
      </c>
      <c r="Y8" s="136" t="s">
        <v>57</v>
      </c>
      <c r="Z8" s="162"/>
    </row>
    <row r="9" spans="1:26" ht="29.4" x14ac:dyDescent="0.35">
      <c r="A9" s="169" t="s">
        <v>167</v>
      </c>
      <c r="B9" s="170" t="s">
        <v>101</v>
      </c>
      <c r="C9" s="170" t="s">
        <v>100</v>
      </c>
      <c r="H9" s="108"/>
      <c r="I9" s="108"/>
      <c r="J9" s="108"/>
      <c r="K9" s="131" t="s">
        <v>26</v>
      </c>
      <c r="L9" s="143">
        <v>300</v>
      </c>
      <c r="M9" s="144" t="s">
        <v>33</v>
      </c>
      <c r="N9" s="115" t="s">
        <v>40</v>
      </c>
      <c r="P9" s="130" t="s">
        <v>55</v>
      </c>
      <c r="Q9" s="131" t="s">
        <v>51</v>
      </c>
      <c r="R9" s="132">
        <v>1200</v>
      </c>
      <c r="S9" s="124" t="s">
        <v>45</v>
      </c>
      <c r="T9" s="115" t="s">
        <v>139</v>
      </c>
      <c r="V9" s="146"/>
      <c r="W9" s="147" t="s">
        <v>61</v>
      </c>
      <c r="X9" s="148">
        <v>0.15</v>
      </c>
      <c r="Y9" s="149"/>
      <c r="Z9" s="125"/>
    </row>
    <row r="10" spans="1:26" ht="25.05" customHeight="1" thickBot="1" x14ac:dyDescent="0.35">
      <c r="A10" s="171" t="s">
        <v>91</v>
      </c>
      <c r="B10" s="171">
        <v>830</v>
      </c>
      <c r="C10" s="171">
        <v>22</v>
      </c>
      <c r="H10" s="108"/>
      <c r="I10" s="108"/>
      <c r="J10" s="108"/>
      <c r="K10" s="131" t="s">
        <v>1</v>
      </c>
      <c r="L10" s="143" t="s">
        <v>2</v>
      </c>
      <c r="M10" s="144"/>
      <c r="N10" s="115" t="s">
        <v>136</v>
      </c>
      <c r="P10" s="145"/>
      <c r="Q10" s="131" t="s">
        <v>43</v>
      </c>
      <c r="R10" s="132">
        <v>6500</v>
      </c>
      <c r="S10" s="124" t="s">
        <v>45</v>
      </c>
      <c r="T10" s="115" t="s">
        <v>59</v>
      </c>
      <c r="V10" s="152"/>
      <c r="W10" s="153" t="s">
        <v>53</v>
      </c>
      <c r="X10" s="154">
        <v>0</v>
      </c>
      <c r="Y10" s="155" t="s">
        <v>33</v>
      </c>
      <c r="Z10" s="156"/>
    </row>
    <row r="11" spans="1:26" ht="25.05" customHeight="1" x14ac:dyDescent="0.3">
      <c r="A11" s="171" t="s">
        <v>92</v>
      </c>
      <c r="B11" s="171">
        <v>907</v>
      </c>
      <c r="C11" s="171">
        <v>24</v>
      </c>
      <c r="H11" s="108"/>
      <c r="I11" s="108"/>
      <c r="J11" s="108"/>
      <c r="K11" s="131" t="s">
        <v>62</v>
      </c>
      <c r="L11" s="143">
        <v>100</v>
      </c>
      <c r="M11" s="144" t="s">
        <v>44</v>
      </c>
      <c r="N11" s="172" t="s">
        <v>104</v>
      </c>
      <c r="P11" s="145"/>
      <c r="Q11" s="131" t="s">
        <v>52</v>
      </c>
      <c r="R11" s="132">
        <v>10</v>
      </c>
      <c r="S11" s="124" t="s">
        <v>57</v>
      </c>
      <c r="T11" s="115"/>
      <c r="V11" s="133">
        <v>4</v>
      </c>
      <c r="W11" s="134" t="s">
        <v>52</v>
      </c>
      <c r="X11" s="135"/>
      <c r="Y11" s="136" t="s">
        <v>57</v>
      </c>
      <c r="Z11" s="162"/>
    </row>
    <row r="12" spans="1:26" ht="37.200000000000003" thickBot="1" x14ac:dyDescent="0.35">
      <c r="A12" s="171" t="s">
        <v>93</v>
      </c>
      <c r="B12" s="171" t="s">
        <v>102</v>
      </c>
      <c r="C12" s="171"/>
      <c r="H12" s="108"/>
      <c r="I12" s="108"/>
      <c r="J12" s="108"/>
      <c r="K12" s="131" t="s">
        <v>63</v>
      </c>
      <c r="L12" s="143">
        <v>290</v>
      </c>
      <c r="M12" s="144" t="s">
        <v>33</v>
      </c>
      <c r="N12" s="115" t="s">
        <v>137</v>
      </c>
      <c r="P12" s="168"/>
      <c r="Q12" s="131" t="s">
        <v>53</v>
      </c>
      <c r="R12" s="132">
        <v>700</v>
      </c>
      <c r="S12" s="124" t="s">
        <v>33</v>
      </c>
      <c r="T12" s="156" t="s">
        <v>81</v>
      </c>
      <c r="V12" s="146"/>
      <c r="W12" s="147" t="s">
        <v>61</v>
      </c>
      <c r="X12" s="148"/>
      <c r="Y12" s="149"/>
      <c r="Z12" s="125"/>
    </row>
    <row r="13" spans="1:26" ht="37.200000000000003" thickBot="1" x14ac:dyDescent="0.35">
      <c r="A13" s="171" t="s">
        <v>103</v>
      </c>
      <c r="B13" s="171">
        <v>901</v>
      </c>
      <c r="C13" s="171">
        <v>24</v>
      </c>
      <c r="H13" s="108"/>
      <c r="I13" s="108"/>
      <c r="J13" s="108"/>
      <c r="K13" s="131" t="s">
        <v>64</v>
      </c>
      <c r="L13" s="143">
        <v>310</v>
      </c>
      <c r="M13" s="144" t="s">
        <v>33</v>
      </c>
      <c r="N13" s="115" t="s">
        <v>138</v>
      </c>
      <c r="P13" s="131" t="s">
        <v>56</v>
      </c>
      <c r="Q13" s="131" t="s">
        <v>54</v>
      </c>
      <c r="R13" s="132">
        <v>3</v>
      </c>
      <c r="S13" s="124"/>
      <c r="T13" s="115" t="s">
        <v>141</v>
      </c>
      <c r="V13" s="152"/>
      <c r="W13" s="153" t="s">
        <v>53</v>
      </c>
      <c r="X13" s="154"/>
      <c r="Y13" s="155" t="s">
        <v>33</v>
      </c>
      <c r="Z13" s="156"/>
    </row>
    <row r="14" spans="1:26" ht="25.05" customHeight="1" x14ac:dyDescent="0.3">
      <c r="A14" s="167"/>
      <c r="K14" s="131" t="s">
        <v>65</v>
      </c>
      <c r="L14" s="143">
        <v>50</v>
      </c>
      <c r="M14" s="144" t="s">
        <v>44</v>
      </c>
      <c r="N14" s="115" t="s">
        <v>73</v>
      </c>
      <c r="V14" s="133">
        <v>5</v>
      </c>
      <c r="W14" s="134" t="s">
        <v>52</v>
      </c>
      <c r="X14" s="135"/>
      <c r="Y14" s="136" t="s">
        <v>57</v>
      </c>
      <c r="Z14" s="162"/>
    </row>
    <row r="15" spans="1:26" ht="25.05" customHeight="1" x14ac:dyDescent="0.3">
      <c r="A15" s="167"/>
      <c r="K15" s="131" t="s">
        <v>66</v>
      </c>
      <c r="L15" s="143">
        <v>900</v>
      </c>
      <c r="M15" s="144" t="s">
        <v>44</v>
      </c>
      <c r="N15" s="115" t="s">
        <v>74</v>
      </c>
      <c r="V15" s="146"/>
      <c r="W15" s="147" t="s">
        <v>61</v>
      </c>
      <c r="X15" s="148"/>
      <c r="Y15" s="149"/>
      <c r="Z15" s="125"/>
    </row>
    <row r="16" spans="1:26" ht="25.05" customHeight="1" thickBot="1" x14ac:dyDescent="0.35">
      <c r="A16" s="167"/>
      <c r="K16" s="131" t="s">
        <v>67</v>
      </c>
      <c r="L16" s="143">
        <v>20</v>
      </c>
      <c r="M16" s="144"/>
      <c r="N16" s="115" t="s">
        <v>75</v>
      </c>
      <c r="V16" s="152"/>
      <c r="W16" s="153" t="s">
        <v>53</v>
      </c>
      <c r="X16" s="154"/>
      <c r="Y16" s="155" t="s">
        <v>33</v>
      </c>
      <c r="Z16" s="156"/>
    </row>
    <row r="17" spans="1:26" ht="25.05" customHeight="1" x14ac:dyDescent="0.3">
      <c r="A17" s="167"/>
      <c r="K17" s="131" t="s">
        <v>94</v>
      </c>
      <c r="L17" s="143">
        <v>200</v>
      </c>
      <c r="M17" s="144" t="s">
        <v>44</v>
      </c>
      <c r="N17" s="115" t="s">
        <v>84</v>
      </c>
      <c r="V17" s="133">
        <v>6</v>
      </c>
      <c r="W17" s="134" t="s">
        <v>52</v>
      </c>
      <c r="X17" s="135"/>
      <c r="Y17" s="136" t="s">
        <v>57</v>
      </c>
      <c r="Z17" s="162"/>
    </row>
    <row r="18" spans="1:26" ht="25.05" customHeight="1" x14ac:dyDescent="0.3">
      <c r="A18" s="167"/>
      <c r="K18" s="131" t="s">
        <v>95</v>
      </c>
      <c r="L18" s="143">
        <v>900</v>
      </c>
      <c r="M18" s="144" t="s">
        <v>44</v>
      </c>
      <c r="N18" s="115" t="s">
        <v>85</v>
      </c>
      <c r="V18" s="146"/>
      <c r="W18" s="147" t="s">
        <v>61</v>
      </c>
      <c r="X18" s="148"/>
      <c r="Y18" s="149"/>
      <c r="Z18" s="125"/>
    </row>
    <row r="19" spans="1:26" ht="25.05" customHeight="1" thickBot="1" x14ac:dyDescent="0.35">
      <c r="A19" s="167"/>
      <c r="K19" s="131" t="s">
        <v>24</v>
      </c>
      <c r="L19" s="174">
        <v>20</v>
      </c>
      <c r="M19" s="175" t="s">
        <v>32</v>
      </c>
      <c r="N19" s="176" t="s">
        <v>105</v>
      </c>
      <c r="V19" s="152"/>
      <c r="W19" s="153" t="s">
        <v>53</v>
      </c>
      <c r="X19" s="154"/>
      <c r="Y19" s="155" t="s">
        <v>33</v>
      </c>
      <c r="Z19" s="156"/>
    </row>
    <row r="20" spans="1:26" ht="36.6" x14ac:dyDescent="0.3">
      <c r="A20" s="167"/>
      <c r="K20" s="131" t="s">
        <v>107</v>
      </c>
      <c r="L20" s="143">
        <v>15</v>
      </c>
      <c r="M20" s="114"/>
      <c r="N20" s="115" t="s">
        <v>142</v>
      </c>
      <c r="V20" s="133">
        <v>7</v>
      </c>
      <c r="W20" s="134" t="s">
        <v>52</v>
      </c>
      <c r="X20" s="135"/>
      <c r="Y20" s="136" t="s">
        <v>57</v>
      </c>
      <c r="Z20" s="162"/>
    </row>
    <row r="21" spans="1:26" ht="25.05" customHeight="1" x14ac:dyDescent="0.4">
      <c r="A21" s="167"/>
      <c r="K21" s="108"/>
      <c r="L21" s="109" t="s">
        <v>68</v>
      </c>
      <c r="M21" s="110"/>
      <c r="N21" s="111" t="s">
        <v>34</v>
      </c>
      <c r="V21" s="146"/>
      <c r="W21" s="147" t="s">
        <v>61</v>
      </c>
      <c r="X21" s="148"/>
      <c r="Y21" s="149"/>
      <c r="Z21" s="125"/>
    </row>
    <row r="22" spans="1:26" ht="25.05" customHeight="1" thickBot="1" x14ac:dyDescent="0.35">
      <c r="A22" s="167"/>
      <c r="K22" s="131" t="s">
        <v>3</v>
      </c>
      <c r="L22" s="177" t="s">
        <v>15</v>
      </c>
      <c r="M22" s="144"/>
      <c r="N22" s="115"/>
      <c r="V22" s="152"/>
      <c r="W22" s="153" t="s">
        <v>53</v>
      </c>
      <c r="X22" s="154"/>
      <c r="Y22" s="155" t="s">
        <v>33</v>
      </c>
      <c r="Z22" s="156"/>
    </row>
    <row r="23" spans="1:26" ht="25.05" customHeight="1" x14ac:dyDescent="0.3">
      <c r="A23" s="167"/>
      <c r="K23" s="131" t="s">
        <v>69</v>
      </c>
      <c r="L23" s="143">
        <v>300</v>
      </c>
      <c r="M23" s="144" t="s">
        <v>44</v>
      </c>
      <c r="N23" s="115" t="s">
        <v>76</v>
      </c>
      <c r="V23" s="133">
        <v>8</v>
      </c>
      <c r="W23" s="134" t="s">
        <v>52</v>
      </c>
      <c r="X23" s="135"/>
      <c r="Y23" s="136" t="s">
        <v>57</v>
      </c>
      <c r="Z23" s="162"/>
    </row>
    <row r="24" spans="1:26" ht="15" customHeight="1" x14ac:dyDescent="0.3">
      <c r="A24" s="167"/>
      <c r="K24" s="131" t="s">
        <v>70</v>
      </c>
      <c r="L24" s="143">
        <v>150</v>
      </c>
      <c r="M24" s="144" t="s">
        <v>98</v>
      </c>
      <c r="N24" s="115" t="s">
        <v>77</v>
      </c>
      <c r="V24" s="146"/>
      <c r="W24" s="147" t="s">
        <v>61</v>
      </c>
      <c r="X24" s="148"/>
      <c r="Y24" s="149"/>
      <c r="Z24" s="125"/>
    </row>
    <row r="25" spans="1:26" ht="15" customHeight="1" thickBot="1" x14ac:dyDescent="0.35">
      <c r="A25" s="167"/>
      <c r="V25" s="152"/>
      <c r="W25" s="153" t="s">
        <v>53</v>
      </c>
      <c r="X25" s="154"/>
      <c r="Y25" s="155" t="s">
        <v>33</v>
      </c>
      <c r="Z25" s="156"/>
    </row>
    <row r="26" spans="1:26" ht="15" customHeight="1" x14ac:dyDescent="0.3">
      <c r="A26" s="167"/>
      <c r="V26" s="133">
        <v>9</v>
      </c>
      <c r="W26" s="134" t="s">
        <v>52</v>
      </c>
      <c r="X26" s="135"/>
      <c r="Y26" s="136" t="s">
        <v>57</v>
      </c>
      <c r="Z26" s="162"/>
    </row>
    <row r="27" spans="1:26" ht="15" customHeight="1" x14ac:dyDescent="0.3">
      <c r="A27" s="167"/>
      <c r="V27" s="146"/>
      <c r="W27" s="147" t="s">
        <v>61</v>
      </c>
      <c r="X27" s="148"/>
      <c r="Y27" s="149"/>
      <c r="Z27" s="125"/>
    </row>
    <row r="28" spans="1:26" ht="15" customHeight="1" thickBot="1" x14ac:dyDescent="0.35">
      <c r="A28" s="167"/>
      <c r="I28" s="178"/>
      <c r="J28" s="178"/>
      <c r="K28" s="179"/>
      <c r="L28" s="179"/>
      <c r="M28" s="179"/>
      <c r="N28" s="179"/>
      <c r="V28" s="152"/>
      <c r="W28" s="153" t="s">
        <v>53</v>
      </c>
      <c r="X28" s="154"/>
      <c r="Y28" s="155" t="s">
        <v>33</v>
      </c>
      <c r="Z28" s="156"/>
    </row>
    <row r="29" spans="1:26" ht="15" customHeight="1" x14ac:dyDescent="0.3">
      <c r="A29" s="167"/>
      <c r="V29" s="133">
        <v>10</v>
      </c>
      <c r="W29" s="134" t="s">
        <v>52</v>
      </c>
      <c r="X29" s="135"/>
      <c r="Y29" s="136" t="s">
        <v>57</v>
      </c>
      <c r="Z29" s="162"/>
    </row>
    <row r="30" spans="1:26" ht="15" customHeight="1" x14ac:dyDescent="0.3">
      <c r="A30" s="167"/>
      <c r="V30" s="146"/>
      <c r="W30" s="147" t="s">
        <v>61</v>
      </c>
      <c r="X30" s="148"/>
      <c r="Y30" s="149"/>
      <c r="Z30" s="125"/>
    </row>
    <row r="31" spans="1:26" ht="15" customHeight="1" thickBot="1" x14ac:dyDescent="0.35">
      <c r="A31" s="167"/>
      <c r="V31" s="152"/>
      <c r="W31" s="153" t="s">
        <v>53</v>
      </c>
      <c r="X31" s="154"/>
      <c r="Y31" s="155" t="s">
        <v>33</v>
      </c>
      <c r="Z31" s="156"/>
    </row>
    <row r="32" spans="1:26" ht="15" customHeight="1" x14ac:dyDescent="0.3">
      <c r="A32" s="167"/>
    </row>
    <row r="33" spans="1:1" ht="15" customHeight="1" x14ac:dyDescent="0.3">
      <c r="A33" s="167"/>
    </row>
    <row r="34" spans="1:1" ht="15" customHeight="1" x14ac:dyDescent="0.3">
      <c r="A34" s="167"/>
    </row>
    <row r="35" spans="1:1" ht="15" customHeight="1" x14ac:dyDescent="0.3">
      <c r="A35" s="167"/>
    </row>
    <row r="36" spans="1:1" ht="15" customHeight="1" x14ac:dyDescent="0.3"/>
  </sheetData>
  <mergeCells count="21">
    <mergeCell ref="V23:V25"/>
    <mergeCell ref="V26:V28"/>
    <mergeCell ref="I28:J28"/>
    <mergeCell ref="K28:N28"/>
    <mergeCell ref="V29:V31"/>
    <mergeCell ref="V8:V10"/>
    <mergeCell ref="P9:P12"/>
    <mergeCell ref="V11:V13"/>
    <mergeCell ref="V14:V16"/>
    <mergeCell ref="V17:V19"/>
    <mergeCell ref="V20:V22"/>
    <mergeCell ref="A1:C1"/>
    <mergeCell ref="H1:J1"/>
    <mergeCell ref="P2:P8"/>
    <mergeCell ref="V2:V4"/>
    <mergeCell ref="E3:F3"/>
    <mergeCell ref="D5:G5"/>
    <mergeCell ref="V5:V7"/>
    <mergeCell ref="D6:G6"/>
    <mergeCell ref="D7:G7"/>
    <mergeCell ref="D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22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812F3B9-7A7B-4A91-A2A0-876028502FD2}">
          <x14:formula1>
            <xm:f>'Base de données'!$G$2:$G$4</xm:f>
          </x14:formula1>
          <xm:sqref>L7</xm:sqref>
        </x14:dataValidation>
        <x14:dataValidation type="list" allowBlank="1" showInputMessage="1" showErrorMessage="1" xr:uid="{89E7CF9F-1E9D-42C3-B5B2-C99EE4D7D02D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69F526D3-FF6E-4385-BFCF-47D714220DC7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AB689-B29F-4CA7-912B-8932EB365E63}">
  <sheetPr codeName="Sheet9"/>
  <dimension ref="A1:AA36"/>
  <sheetViews>
    <sheetView workbookViewId="0">
      <selection activeCell="E12" sqref="E12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149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149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3000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0.44050904115041095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465.6404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98"/>
      <c r="Q5" s="2" t="s">
        <v>47</v>
      </c>
      <c r="R5" s="51">
        <v>0.1</v>
      </c>
      <c r="S5" s="12"/>
      <c r="T5" s="45" t="s">
        <v>60</v>
      </c>
      <c r="V5" s="87">
        <v>2</v>
      </c>
      <c r="W5" s="52" t="s">
        <v>52</v>
      </c>
      <c r="X5" s="67">
        <v>2000</v>
      </c>
      <c r="Y5" s="68" t="s">
        <v>57</v>
      </c>
      <c r="Z5" s="69"/>
    </row>
    <row r="6" spans="1:26" ht="36.6" x14ac:dyDescent="0.3">
      <c r="A6" s="3" t="s">
        <v>90</v>
      </c>
      <c r="B6">
        <v>444.73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0.35420000000000001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99"/>
      <c r="Q8" s="2" t="s">
        <v>50</v>
      </c>
      <c r="R8" s="51">
        <v>4000</v>
      </c>
      <c r="S8" s="12" t="s">
        <v>57</v>
      </c>
      <c r="T8" s="45" t="s">
        <v>140</v>
      </c>
      <c r="V8" s="87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88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137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901</v>
      </c>
      <c r="C13">
        <v>24</v>
      </c>
      <c r="G13" s="4"/>
      <c r="H13" s="1"/>
      <c r="I13" s="1"/>
      <c r="J13" s="1"/>
      <c r="K13" s="2" t="s">
        <v>64</v>
      </c>
      <c r="L13" s="53">
        <v>310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900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900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942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3572706-F9E6-48E0-9CB7-E541EDF1637C}">
          <x14:formula1>
            <xm:f>'Base de données'!$G$2:$G$4</xm:f>
          </x14:formula1>
          <xm:sqref>L7</xm:sqref>
        </x14:dataValidation>
        <x14:dataValidation type="list" allowBlank="1" showInputMessage="1" showErrorMessage="1" xr:uid="{DA0DD3F3-5E65-4F81-A365-146D5CF0150C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D269FB53-4589-4A4B-9E35-D0F0EFE7F4E4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E188A-9FED-41D1-B43D-AE4DBC2AEE72}">
  <sheetPr codeName="Sheet22"/>
  <dimension ref="A1:AA36"/>
  <sheetViews>
    <sheetView workbookViewId="0">
      <selection activeCell="J8" sqref="J8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162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162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570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2000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0.5034077922503154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1000</v>
      </c>
      <c r="S3" s="12" t="s">
        <v>45</v>
      </c>
      <c r="T3" s="45" t="s">
        <v>59</v>
      </c>
      <c r="V3" s="88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712.6952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98"/>
      <c r="Q5" s="2" t="s">
        <v>47</v>
      </c>
      <c r="R5" s="51">
        <v>0.1</v>
      </c>
      <c r="S5" s="12"/>
      <c r="T5" s="45" t="s">
        <v>60</v>
      </c>
      <c r="V5" s="87">
        <v>2</v>
      </c>
      <c r="W5" s="52" t="s">
        <v>52</v>
      </c>
      <c r="X5" s="67">
        <v>1000</v>
      </c>
      <c r="Y5" s="68" t="s">
        <v>57</v>
      </c>
      <c r="Z5" s="69"/>
    </row>
    <row r="6" spans="1:26" ht="36.6" x14ac:dyDescent="0.3">
      <c r="A6" s="3" t="s">
        <v>90</v>
      </c>
      <c r="B6">
        <v>649.79999999999995</v>
      </c>
      <c r="C6" t="s">
        <v>44</v>
      </c>
      <c r="D6" s="100" t="s">
        <v>164</v>
      </c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0.36009999999999998</v>
      </c>
      <c r="D7" s="90" t="s">
        <v>163</v>
      </c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99"/>
      <c r="Q8" s="2" t="s">
        <v>50</v>
      </c>
      <c r="R8" s="51">
        <v>4000</v>
      </c>
      <c r="S8" s="12" t="s">
        <v>57</v>
      </c>
      <c r="T8" s="45" t="s">
        <v>140</v>
      </c>
      <c r="V8" s="87">
        <v>3</v>
      </c>
      <c r="W8" s="52" t="s">
        <v>52</v>
      </c>
      <c r="X8" s="67">
        <v>500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1000</v>
      </c>
      <c r="S9" s="12" t="s">
        <v>45</v>
      </c>
      <c r="T9" s="45" t="s">
        <v>139</v>
      </c>
      <c r="V9" s="88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990</v>
      </c>
      <c r="C10">
        <v>26</v>
      </c>
      <c r="G10" s="4"/>
      <c r="H10" s="1"/>
      <c r="I10" s="1"/>
      <c r="J10" s="1"/>
      <c r="K10" s="2" t="s">
        <v>172</v>
      </c>
      <c r="L10" s="53" t="s">
        <v>2</v>
      </c>
      <c r="M10" s="54"/>
      <c r="N10" s="45" t="s">
        <v>136</v>
      </c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700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1038</v>
      </c>
      <c r="C11">
        <v>28</v>
      </c>
      <c r="G11" s="4"/>
      <c r="H11" s="1"/>
      <c r="I11" s="1"/>
      <c r="J11" s="1"/>
      <c r="K11" s="2" t="s">
        <v>62</v>
      </c>
      <c r="L11" s="53">
        <v>500</v>
      </c>
      <c r="M11" s="54" t="s">
        <v>44</v>
      </c>
      <c r="N11" s="56" t="s">
        <v>104</v>
      </c>
      <c r="P11" s="98"/>
      <c r="Q11" s="2" t="s">
        <v>52</v>
      </c>
      <c r="R11" s="51">
        <v>20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>
        <v>1049</v>
      </c>
      <c r="C12">
        <v>28</v>
      </c>
      <c r="G12" s="4"/>
      <c r="H12" s="1"/>
      <c r="I12" s="1"/>
      <c r="J12" s="1"/>
      <c r="K12" s="2" t="s">
        <v>63</v>
      </c>
      <c r="L12" s="53">
        <v>274</v>
      </c>
      <c r="M12" s="54" t="s">
        <v>33</v>
      </c>
      <c r="N12" s="45" t="s">
        <v>137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1049</v>
      </c>
      <c r="C13">
        <v>28</v>
      </c>
      <c r="G13" s="4"/>
      <c r="H13" s="1"/>
      <c r="I13" s="1"/>
      <c r="J13" s="1"/>
      <c r="K13" s="2" t="s">
        <v>64</v>
      </c>
      <c r="L13" s="53">
        <v>313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89"/>
      <c r="W13" s="2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75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900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900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147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0381200-D792-4B60-9DFA-29D403113A87}">
          <x14:formula1>
            <xm:f>'Base de données'!$G$2:$G$4</xm:f>
          </x14:formula1>
          <xm:sqref>L7</xm:sqref>
        </x14:dataValidation>
        <x14:dataValidation type="list" allowBlank="1" showInputMessage="1" showErrorMessage="1" xr:uid="{75283984-C912-436A-AE6F-6721EB9530BE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5EB85244-BD9F-4BFC-B74C-627770877315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12934-7045-48AE-8A57-A0BEFE57E270}">
  <sheetPr codeName="Sheet17"/>
  <dimension ref="A1:AA36"/>
  <sheetViews>
    <sheetView workbookViewId="0">
      <selection activeCell="G21" sqref="G21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161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161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570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2000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0.46938815514246623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1000</v>
      </c>
      <c r="S3" s="12" t="s">
        <v>45</v>
      </c>
      <c r="T3" s="45" t="s">
        <v>59</v>
      </c>
      <c r="V3" s="88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715.68949999999995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98"/>
      <c r="Q5" s="2" t="s">
        <v>47</v>
      </c>
      <c r="R5" s="51">
        <v>0.1</v>
      </c>
      <c r="S5" s="12"/>
      <c r="T5" s="45" t="s">
        <v>60</v>
      </c>
      <c r="V5" s="87">
        <v>2</v>
      </c>
      <c r="W5" s="52" t="s">
        <v>52</v>
      </c>
      <c r="X5" s="67">
        <v>1000</v>
      </c>
      <c r="Y5" s="68" t="s">
        <v>57</v>
      </c>
      <c r="Z5" s="69"/>
    </row>
    <row r="6" spans="1:26" ht="36.6" x14ac:dyDescent="0.3">
      <c r="A6" s="3" t="s">
        <v>90</v>
      </c>
      <c r="B6">
        <v>652.54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0.36120000000000002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99"/>
      <c r="Q8" s="2" t="s">
        <v>50</v>
      </c>
      <c r="R8" s="51">
        <v>4000</v>
      </c>
      <c r="S8" s="12" t="s">
        <v>57</v>
      </c>
      <c r="T8" s="45" t="s">
        <v>140</v>
      </c>
      <c r="V8" s="87">
        <v>3</v>
      </c>
      <c r="W8" s="52" t="s">
        <v>52</v>
      </c>
      <c r="X8" s="67">
        <v>500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1000</v>
      </c>
      <c r="S9" s="12" t="s">
        <v>45</v>
      </c>
      <c r="T9" s="45" t="s">
        <v>139</v>
      </c>
      <c r="V9" s="88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990</v>
      </c>
      <c r="C10">
        <v>26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700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1038</v>
      </c>
      <c r="C11">
        <v>28</v>
      </c>
      <c r="G11" s="4"/>
      <c r="H11" s="1"/>
      <c r="I11" s="1"/>
      <c r="J11" s="1"/>
      <c r="K11" s="2" t="s">
        <v>62</v>
      </c>
      <c r="L11" s="53">
        <v>10</v>
      </c>
      <c r="M11" s="54" t="s">
        <v>44</v>
      </c>
      <c r="N11" s="56" t="s">
        <v>104</v>
      </c>
      <c r="P11" s="98"/>
      <c r="Q11" s="2" t="s">
        <v>52</v>
      </c>
      <c r="R11" s="51">
        <v>20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>
        <v>1049</v>
      </c>
      <c r="C12">
        <v>28</v>
      </c>
      <c r="G12" s="4"/>
      <c r="H12" s="1"/>
      <c r="I12" s="1"/>
      <c r="J12" s="1"/>
      <c r="K12" s="2" t="s">
        <v>63</v>
      </c>
      <c r="L12" s="53">
        <v>293</v>
      </c>
      <c r="M12" s="54" t="s">
        <v>33</v>
      </c>
      <c r="N12" s="45" t="s">
        <v>137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1049</v>
      </c>
      <c r="C13">
        <v>28</v>
      </c>
      <c r="G13" s="4"/>
      <c r="H13" s="1"/>
      <c r="I13" s="1"/>
      <c r="J13" s="1"/>
      <c r="K13" s="2" t="s">
        <v>64</v>
      </c>
      <c r="L13" s="53">
        <v>313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89"/>
      <c r="W13" s="2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75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900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900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045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5E3B67-5024-4349-937B-0EBC29117112}">
          <x14:formula1>
            <xm:f>'Base de données'!$G$2:$G$4</xm:f>
          </x14:formula1>
          <xm:sqref>L7</xm:sqref>
        </x14:dataValidation>
        <x14:dataValidation type="list" allowBlank="1" showInputMessage="1" showErrorMessage="1" xr:uid="{319D1002-27FE-41BC-9A06-57DE643B656D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DAE7A590-3CAE-4FFF-B5AD-0883DD0CE89E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17612-0F1E-4497-9111-413F88A6078A}">
  <sheetPr codeName="Sheet25"/>
  <dimension ref="A1:AA36"/>
  <sheetViews>
    <sheetView topLeftCell="N1" workbookViewId="0">
      <selection activeCell="P1" sqref="P1:T13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157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156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570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2000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0.47161440849304198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1000</v>
      </c>
      <c r="S3" s="12" t="s">
        <v>45</v>
      </c>
      <c r="T3" s="45" t="s">
        <v>59</v>
      </c>
      <c r="V3" s="88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715.68949999999995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98"/>
      <c r="Q5" s="2" t="s">
        <v>47</v>
      </c>
      <c r="R5" s="51">
        <v>0.1</v>
      </c>
      <c r="S5" s="12"/>
      <c r="T5" s="45" t="s">
        <v>60</v>
      </c>
      <c r="V5" s="87">
        <v>2</v>
      </c>
      <c r="W5" s="52" t="s">
        <v>52</v>
      </c>
      <c r="X5" s="67">
        <v>1000</v>
      </c>
      <c r="Y5" s="68" t="s">
        <v>57</v>
      </c>
      <c r="Z5" s="69"/>
    </row>
    <row r="6" spans="1:26" ht="36.6" x14ac:dyDescent="0.3">
      <c r="A6" s="3" t="s">
        <v>90</v>
      </c>
      <c r="B6">
        <v>652.54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0.36099999999999999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99"/>
      <c r="Q8" s="2" t="s">
        <v>50</v>
      </c>
      <c r="R8" s="51">
        <v>4000</v>
      </c>
      <c r="S8" s="12" t="s">
        <v>57</v>
      </c>
      <c r="T8" s="45" t="s">
        <v>140</v>
      </c>
      <c r="V8" s="87">
        <v>3</v>
      </c>
      <c r="W8" s="52" t="s">
        <v>52</v>
      </c>
      <c r="X8" s="67">
        <v>500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1000</v>
      </c>
      <c r="S9" s="12" t="s">
        <v>45</v>
      </c>
      <c r="T9" s="45" t="s">
        <v>139</v>
      </c>
      <c r="V9" s="88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990</v>
      </c>
      <c r="C10">
        <v>26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700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1038</v>
      </c>
      <c r="C11">
        <v>28</v>
      </c>
      <c r="G11" s="4"/>
      <c r="H11" s="1"/>
      <c r="I11" s="1"/>
      <c r="J11" s="1"/>
      <c r="K11" s="2" t="s">
        <v>62</v>
      </c>
      <c r="L11" s="53">
        <v>100</v>
      </c>
      <c r="M11" s="54" t="s">
        <v>44</v>
      </c>
      <c r="N11" s="56" t="s">
        <v>104</v>
      </c>
      <c r="P11" s="98"/>
      <c r="Q11" s="2" t="s">
        <v>52</v>
      </c>
      <c r="R11" s="51">
        <v>20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>
        <v>1049</v>
      </c>
      <c r="C12">
        <v>28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137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1049</v>
      </c>
      <c r="C13">
        <v>28</v>
      </c>
      <c r="G13" s="4"/>
      <c r="H13" s="1"/>
      <c r="I13" s="1"/>
      <c r="J13" s="1"/>
      <c r="K13" s="2" t="s">
        <v>64</v>
      </c>
      <c r="L13" s="53">
        <v>313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89"/>
      <c r="W13" s="2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75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900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900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02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32B71FF-758E-4908-AE84-205892F320C8}">
          <x14:formula1>
            <xm:f>'Base de données'!$G$2:$G$4</xm:f>
          </x14:formula1>
          <xm:sqref>L7</xm:sqref>
        </x14:dataValidation>
        <x14:dataValidation type="list" allowBlank="1" showInputMessage="1" showErrorMessage="1" xr:uid="{5BC68BD6-72B0-4940-90C3-1CF1094F152A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9184178B-A160-4F02-9FA8-6A67A5C19E8C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DAA55-8CFF-4400-BC49-81BEADF6F384}">
  <sheetPr codeName="Sheet24"/>
  <dimension ref="A1:AA36"/>
  <sheetViews>
    <sheetView topLeftCell="O1" workbookViewId="0">
      <selection activeCell="P1" sqref="P1:T13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156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156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2000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0.47384348313013713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614.22429999999997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98"/>
      <c r="Q5" s="2" t="s">
        <v>47</v>
      </c>
      <c r="R5" s="51">
        <v>0.1</v>
      </c>
      <c r="S5" s="12"/>
      <c r="T5" s="45" t="s">
        <v>60</v>
      </c>
      <c r="V5" s="87">
        <v>2</v>
      </c>
      <c r="W5" s="52" t="s">
        <v>52</v>
      </c>
      <c r="X5" s="67">
        <v>1000</v>
      </c>
      <c r="Y5" s="68" t="s">
        <v>57</v>
      </c>
      <c r="Z5" s="69"/>
    </row>
    <row r="6" spans="1:26" ht="36.6" x14ac:dyDescent="0.3">
      <c r="A6" s="3" t="s">
        <v>90</v>
      </c>
      <c r="B6">
        <v>569.87</v>
      </c>
      <c r="C6" t="s">
        <v>44</v>
      </c>
      <c r="D6" s="100" t="s">
        <v>158</v>
      </c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0.35589999999999999</v>
      </c>
      <c r="D7" s="90" t="s">
        <v>159</v>
      </c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100" t="s">
        <v>160</v>
      </c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99"/>
      <c r="Q8" s="2" t="s">
        <v>50</v>
      </c>
      <c r="R8" s="51">
        <v>4000</v>
      </c>
      <c r="S8" s="12" t="s">
        <v>57</v>
      </c>
      <c r="T8" s="45" t="s">
        <v>140</v>
      </c>
      <c r="V8" s="87">
        <v>3</v>
      </c>
      <c r="W8" s="52" t="s">
        <v>52</v>
      </c>
      <c r="X8" s="67">
        <v>500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88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700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870</v>
      </c>
      <c r="C11">
        <v>23</v>
      </c>
      <c r="G11" s="4"/>
      <c r="H11" s="1"/>
      <c r="I11" s="1"/>
      <c r="J11" s="1"/>
      <c r="K11" s="2" t="s">
        <v>62</v>
      </c>
      <c r="L11" s="53">
        <v>100</v>
      </c>
      <c r="M11" s="54" t="s">
        <v>44</v>
      </c>
      <c r="N11" s="56" t="s">
        <v>104</v>
      </c>
      <c r="P11" s="98"/>
      <c r="Q11" s="2" t="s">
        <v>52</v>
      </c>
      <c r="R11" s="51">
        <v>20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>
        <v>878</v>
      </c>
      <c r="C12">
        <v>23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137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878</v>
      </c>
      <c r="C13">
        <v>23</v>
      </c>
      <c r="G13" s="4"/>
      <c r="H13" s="1"/>
      <c r="I13" s="1"/>
      <c r="J13" s="1"/>
      <c r="K13" s="2" t="s">
        <v>64</v>
      </c>
      <c r="L13" s="53">
        <v>313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900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900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25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3FF7C5-80F7-45F4-B4B0-962492EA2BFD}">
          <x14:formula1>
            <xm:f>'Base de données'!$G$2:$G$4</xm:f>
          </x14:formula1>
          <xm:sqref>L7</xm:sqref>
        </x14:dataValidation>
        <x14:dataValidation type="list" allowBlank="1" showInputMessage="1" showErrorMessage="1" xr:uid="{14C78DE8-9312-438D-939F-44979E988C1C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FB58C2AB-901B-40E2-9CA1-44F4E00D2058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191D7-EB37-4DA2-BDFC-772D3634D585}">
  <sheetPr codeName="Sheet23"/>
  <dimension ref="A1:AA36"/>
  <sheetViews>
    <sheetView topLeftCell="A3" workbookViewId="0">
      <selection activeCell="A23" sqref="A23:XFD23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155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155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3000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1.1845660368601481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0.16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458.53829999999999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98"/>
      <c r="Q5" s="2" t="s">
        <v>47</v>
      </c>
      <c r="R5" s="51">
        <v>0.15</v>
      </c>
      <c r="S5" s="12"/>
      <c r="T5" s="45" t="s">
        <v>60</v>
      </c>
      <c r="V5" s="87">
        <v>2</v>
      </c>
      <c r="W5" s="52" t="s">
        <v>52</v>
      </c>
      <c r="X5" s="67">
        <v>2000</v>
      </c>
      <c r="Y5" s="68" t="s">
        <v>57</v>
      </c>
      <c r="Z5" s="69"/>
    </row>
    <row r="6" spans="1:26" ht="36.6" x14ac:dyDescent="0.3">
      <c r="A6" s="3" t="s">
        <v>90</v>
      </c>
      <c r="B6">
        <v>462.07</v>
      </c>
      <c r="C6" t="s">
        <v>44</v>
      </c>
      <c r="D6" s="100" t="s">
        <v>153</v>
      </c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0.3518</v>
      </c>
      <c r="D7" s="100" t="s">
        <v>154</v>
      </c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99"/>
      <c r="Q8" s="2" t="s">
        <v>50</v>
      </c>
      <c r="R8" s="51">
        <v>4000</v>
      </c>
      <c r="S8" s="12" t="s">
        <v>57</v>
      </c>
      <c r="T8" s="45" t="s">
        <v>140</v>
      </c>
      <c r="V8" s="87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88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1000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274</v>
      </c>
      <c r="M12" s="54" t="s">
        <v>33</v>
      </c>
      <c r="N12" s="45" t="s">
        <v>137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901</v>
      </c>
      <c r="C13">
        <v>24</v>
      </c>
      <c r="G13" s="4"/>
      <c r="H13" s="1"/>
      <c r="I13" s="1"/>
      <c r="J13" s="1"/>
      <c r="K13" s="2" t="s">
        <v>64</v>
      </c>
      <c r="L13" s="53">
        <v>313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6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4</v>
      </c>
      <c r="M20" s="44"/>
      <c r="N20" s="45" t="s">
        <v>142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94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ED695C-D24E-4052-869F-4E3D0CDCB471}">
          <x14:formula1>
            <xm:f>'Base de données'!$G$2:$G$4</xm:f>
          </x14:formula1>
          <xm:sqref>L7</xm:sqref>
        </x14:dataValidation>
        <x14:dataValidation type="list" allowBlank="1" showInputMessage="1" showErrorMessage="1" xr:uid="{786EEECA-EFBD-464A-906C-C0617FC9A106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D478ADAE-96B8-4086-A3B0-6E17050409E8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8BC04-F949-420F-8B67-81320EAE6078}">
  <sheetPr codeName="Sheet21"/>
  <dimension ref="A1:AA36"/>
  <sheetViews>
    <sheetView topLeftCell="A12" workbookViewId="0">
      <selection activeCell="G13" sqref="G13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152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152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3000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0.41155115763346356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463.0163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98"/>
      <c r="Q5" s="2" t="s">
        <v>47</v>
      </c>
      <c r="R5" s="51">
        <v>0.1</v>
      </c>
      <c r="S5" s="12"/>
      <c r="T5" s="45" t="s">
        <v>60</v>
      </c>
      <c r="V5" s="87">
        <v>2</v>
      </c>
      <c r="W5" s="52" t="s">
        <v>52</v>
      </c>
      <c r="X5" s="67">
        <v>2000</v>
      </c>
      <c r="Y5" s="68" t="s">
        <v>57</v>
      </c>
      <c r="Z5" s="69"/>
    </row>
    <row r="6" spans="1:26" ht="36.6" x14ac:dyDescent="0.3">
      <c r="A6" s="3" t="s">
        <v>90</v>
      </c>
      <c r="B6">
        <v>442.19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0.3543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99"/>
      <c r="Q8" s="2" t="s">
        <v>50</v>
      </c>
      <c r="R8" s="51">
        <v>4000</v>
      </c>
      <c r="S8" s="12" t="s">
        <v>57</v>
      </c>
      <c r="T8" s="45" t="s">
        <v>140</v>
      </c>
      <c r="V8" s="87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88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137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901</v>
      </c>
      <c r="C13">
        <v>24</v>
      </c>
      <c r="G13" s="4"/>
      <c r="H13" s="1"/>
      <c r="I13" s="1"/>
      <c r="J13" s="1"/>
      <c r="K13" s="2" t="s">
        <v>64</v>
      </c>
      <c r="L13" s="53">
        <v>310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9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61954E-DAD9-4A7D-9F19-07334A44204C}">
          <x14:formula1>
            <xm:f>'Base de données'!$G$2:$G$4</xm:f>
          </x14:formula1>
          <xm:sqref>L7</xm:sqref>
        </x14:dataValidation>
        <x14:dataValidation type="list" allowBlank="1" showInputMessage="1" showErrorMessage="1" xr:uid="{AD40BDA2-A118-46AF-BD8B-9544CAB3C10E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8D238F9D-3B64-47CE-BC5D-6D4937C6D2F8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8965-AF40-4C0B-A245-1553A401E8DF}">
  <sheetPr codeName="Sheet19"/>
  <dimension ref="A1:AA36"/>
  <sheetViews>
    <sheetView topLeftCell="A10" workbookViewId="0">
      <selection activeCell="I2" sqref="I2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151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151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3000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4.0904811580975853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463.01490000000001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98"/>
      <c r="Q5" s="2" t="s">
        <v>47</v>
      </c>
      <c r="R5" s="51">
        <v>0.1</v>
      </c>
      <c r="S5" s="12"/>
      <c r="T5" s="45" t="s">
        <v>60</v>
      </c>
      <c r="V5" s="87">
        <v>2</v>
      </c>
      <c r="W5" s="52" t="s">
        <v>52</v>
      </c>
      <c r="X5" s="67">
        <v>2000</v>
      </c>
      <c r="Y5" s="68" t="s">
        <v>57</v>
      </c>
      <c r="Z5" s="69"/>
    </row>
    <row r="6" spans="1:26" ht="36.6" x14ac:dyDescent="0.3">
      <c r="A6" s="3" t="s">
        <v>90</v>
      </c>
      <c r="B6">
        <v>442.19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0.33169999999999999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99"/>
      <c r="Q8" s="2" t="s">
        <v>50</v>
      </c>
      <c r="R8" s="51">
        <v>4000</v>
      </c>
      <c r="S8" s="12" t="s">
        <v>57</v>
      </c>
      <c r="T8" s="45" t="s">
        <v>140</v>
      </c>
      <c r="V8" s="87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88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137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310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13</v>
      </c>
      <c r="M22" s="54"/>
      <c r="N22" s="45"/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7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3B77DB4-1E4D-41B8-9C4E-31C155A4D027}">
          <x14:formula1>
            <xm:f>'Base de données'!$G$2:$G$4</xm:f>
          </x14:formula1>
          <xm:sqref>L7</xm:sqref>
        </x14:dataValidation>
        <x14:dataValidation type="list" allowBlank="1" showInputMessage="1" showErrorMessage="1" xr:uid="{6407B36E-4B95-4D93-9DFF-1E689A1CB0C1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0BCA467A-24BC-4CCD-8A78-5323982EA699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E4A1D-D2DA-425A-8CB6-271400213B48}">
  <sheetPr codeName="Sheet18"/>
  <dimension ref="A1:AA36"/>
  <sheetViews>
    <sheetView workbookViewId="0">
      <selection activeCell="C6" sqref="C6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150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150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/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1.617882780234019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/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/>
      <c r="Y4" s="73" t="s">
        <v>33</v>
      </c>
      <c r="Z4" s="57" t="s">
        <v>81</v>
      </c>
    </row>
    <row r="5" spans="1:26" ht="36.6" x14ac:dyDescent="0.3">
      <c r="A5" s="3" t="s">
        <v>31</v>
      </c>
      <c r="B5">
        <v>381.40100000000001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98"/>
      <c r="Q5" s="2" t="s">
        <v>47</v>
      </c>
      <c r="R5" s="51">
        <v>0.1</v>
      </c>
      <c r="S5" s="12"/>
      <c r="T5" s="45" t="s">
        <v>60</v>
      </c>
      <c r="V5" s="87">
        <v>2</v>
      </c>
      <c r="W5" s="52" t="s">
        <v>52</v>
      </c>
      <c r="X5" s="67"/>
      <c r="Y5" s="68" t="s">
        <v>57</v>
      </c>
      <c r="Z5" s="69"/>
    </row>
    <row r="6" spans="1:26" ht="36.6" x14ac:dyDescent="0.3">
      <c r="A6" s="3" t="s">
        <v>90</v>
      </c>
      <c r="B6">
        <v>348.44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/>
      <c r="Y6" s="71"/>
      <c r="Z6" s="13"/>
    </row>
    <row r="7" spans="1:26" ht="25.05" customHeight="1" thickBot="1" x14ac:dyDescent="0.35">
      <c r="A7" s="3" t="s">
        <v>21</v>
      </c>
      <c r="B7">
        <v>0.31490000000000001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/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99"/>
      <c r="Q8" s="2" t="s">
        <v>50</v>
      </c>
      <c r="R8" s="51">
        <v>4000</v>
      </c>
      <c r="S8" s="12" t="s">
        <v>57</v>
      </c>
      <c r="T8" s="45" t="s">
        <v>140</v>
      </c>
      <c r="V8" s="87">
        <v>3</v>
      </c>
      <c r="W8" s="52" t="s">
        <v>52</v>
      </c>
      <c r="X8" s="67"/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88"/>
      <c r="W9" s="11" t="s">
        <v>61</v>
      </c>
      <c r="X9" s="70"/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/>
      <c r="Y10" s="73" t="s">
        <v>33</v>
      </c>
      <c r="Z10" s="57"/>
    </row>
    <row r="11" spans="1:26" ht="25.05" customHeight="1" x14ac:dyDescent="0.3">
      <c r="A11" s="3"/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/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137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37.200000000000003" thickBot="1" x14ac:dyDescent="0.35">
      <c r="A13" s="3"/>
      <c r="G13" s="4"/>
      <c r="H13" s="1"/>
      <c r="I13" s="1"/>
      <c r="J13" s="1"/>
      <c r="K13" s="2" t="s">
        <v>64</v>
      </c>
      <c r="L13" s="53">
        <v>310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0</v>
      </c>
      <c r="S13" s="12"/>
      <c r="T13" s="45" t="s">
        <v>141</v>
      </c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19</v>
      </c>
      <c r="M22" s="54"/>
      <c r="N22" s="45"/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1DAA9D5-05F0-4DD2-BDEB-D9FE5A79CE8A}">
          <x14:formula1>
            <xm:f>'Base de données'!$G$2:$G$4</xm:f>
          </x14:formula1>
          <xm:sqref>L7</xm:sqref>
        </x14:dataValidation>
        <x14:dataValidation type="list" allowBlank="1" showInputMessage="1" showErrorMessage="1" xr:uid="{D64B0981-4138-4C9C-9D16-5E4B68F7611E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6E5054A9-2B5D-4F3F-B6B7-0216CDF03045}">
          <x14:formula1>
            <xm:f>'Base de données'!$B$2:$B$24</xm:f>
          </x14:formula1>
          <xm:sqref>L22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26CB5-8D05-4281-82DF-135BCAE24442}">
  <sheetPr codeName="Sheet20"/>
  <dimension ref="A1:AA36"/>
  <sheetViews>
    <sheetView topLeftCell="A64" workbookViewId="0">
      <selection activeCell="D5" sqref="D5:G5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148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148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3000</v>
      </c>
      <c r="Y2" s="68" t="s">
        <v>57</v>
      </c>
      <c r="Z2" s="45" t="s">
        <v>140</v>
      </c>
    </row>
    <row r="3" spans="1:26" ht="25.05" customHeight="1" thickBot="1" x14ac:dyDescent="0.35">
      <c r="A3" s="74" t="s">
        <v>99</v>
      </c>
      <c r="B3">
        <v>1.3400390505790711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0.15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36.6" x14ac:dyDescent="0.3">
      <c r="A5" s="3" t="s">
        <v>31</v>
      </c>
      <c r="B5">
        <v>459.73820000000001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98"/>
      <c r="Q5" s="2" t="s">
        <v>47</v>
      </c>
      <c r="R5" s="51">
        <v>0.1</v>
      </c>
      <c r="S5" s="12"/>
      <c r="T5" s="45" t="s">
        <v>60</v>
      </c>
      <c r="V5" s="87">
        <v>2</v>
      </c>
      <c r="W5" s="52" t="s">
        <v>52</v>
      </c>
      <c r="X5" s="67">
        <v>2000</v>
      </c>
      <c r="Y5" s="68" t="s">
        <v>57</v>
      </c>
      <c r="Z5" s="69"/>
    </row>
    <row r="6" spans="1:26" ht="36.6" x14ac:dyDescent="0.3">
      <c r="A6" s="3" t="s">
        <v>90</v>
      </c>
      <c r="B6">
        <v>439.06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0.35370000000000001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99"/>
      <c r="Q8" s="2" t="s">
        <v>50</v>
      </c>
      <c r="R8" s="51">
        <v>4000</v>
      </c>
      <c r="S8" s="12" t="s">
        <v>57</v>
      </c>
      <c r="T8" s="45" t="s">
        <v>140</v>
      </c>
      <c r="V8" s="87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88"/>
      <c r="W9" s="11" t="s">
        <v>61</v>
      </c>
      <c r="X9" s="70">
        <v>0.15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1000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274</v>
      </c>
      <c r="M12" s="54" t="s">
        <v>33</v>
      </c>
      <c r="N12" s="45" t="s">
        <v>137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37.200000000000003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310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15</v>
      </c>
      <c r="M22" s="54"/>
      <c r="N22" s="45"/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7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AE00295-22A3-4E64-BAEB-CCC0AC0473B9}">
          <x14:formula1>
            <xm:f>'Base de données'!$G$2:$G$4</xm:f>
          </x14:formula1>
          <xm:sqref>L7</xm:sqref>
        </x14:dataValidation>
        <x14:dataValidation type="list" allowBlank="1" showInputMessage="1" showErrorMessage="1" xr:uid="{7F4686A5-659F-4DC0-B919-6CF41721659B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B5A298D1-E2B2-40BC-B84B-597D56765D6E}">
          <x14:formula1>
            <xm:f>'Base de données'!$B$2:$B$24</xm:f>
          </x14:formula1>
          <xm:sqref>L22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0D1D9-BA83-4E69-9186-6C83BB6A408D}">
  <sheetPr codeName="Sheet16"/>
  <dimension ref="A1:AA36"/>
  <sheetViews>
    <sheetView workbookViewId="0">
      <selection activeCell="Z5" sqref="Z5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145</v>
      </c>
      <c r="B2" t="s">
        <v>146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144</v>
      </c>
      <c r="I2" s="47" t="s">
        <v>27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/>
      <c r="Y2" s="68" t="s">
        <v>57</v>
      </c>
      <c r="Z2" s="45" t="s">
        <v>140</v>
      </c>
    </row>
    <row r="3" spans="1:26" ht="25.05" customHeight="1" thickBot="1" x14ac:dyDescent="0.35">
      <c r="A3" s="74"/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/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/>
      <c r="Y4" s="73" t="s">
        <v>33</v>
      </c>
      <c r="Z4" s="57" t="s">
        <v>81</v>
      </c>
    </row>
    <row r="5" spans="1:26" ht="36.6" x14ac:dyDescent="0.3">
      <c r="A5" s="3"/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135</v>
      </c>
      <c r="P5" s="98"/>
      <c r="Q5" s="2" t="s">
        <v>47</v>
      </c>
      <c r="R5" s="51">
        <v>0.125</v>
      </c>
      <c r="S5" s="12"/>
      <c r="T5" s="45" t="s">
        <v>60</v>
      </c>
      <c r="V5" s="87">
        <v>2</v>
      </c>
      <c r="W5" s="52" t="s">
        <v>52</v>
      </c>
      <c r="X5" s="67"/>
      <c r="Y5" s="68" t="s">
        <v>57</v>
      </c>
      <c r="Z5" s="69"/>
    </row>
    <row r="6" spans="1:26" ht="36.6" x14ac:dyDescent="0.3">
      <c r="A6" s="3"/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132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/>
      <c r="Y6" s="71"/>
      <c r="Z6" s="13"/>
    </row>
    <row r="7" spans="1:26" ht="25.05" customHeight="1" thickBot="1" x14ac:dyDescent="0.35">
      <c r="A7" s="3"/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133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/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134</v>
      </c>
      <c r="P8" s="99"/>
      <c r="Q8" s="2" t="s">
        <v>50</v>
      </c>
      <c r="R8" s="51">
        <v>2000</v>
      </c>
      <c r="S8" s="12" t="s">
        <v>57</v>
      </c>
      <c r="T8" s="45" t="s">
        <v>140</v>
      </c>
      <c r="V8" s="87">
        <v>3</v>
      </c>
      <c r="W8" s="52" t="s">
        <v>52</v>
      </c>
      <c r="X8" s="67"/>
      <c r="Y8" s="68" t="s">
        <v>57</v>
      </c>
      <c r="Z8" s="69"/>
    </row>
    <row r="9" spans="1:26" ht="24.6" x14ac:dyDescent="0.3">
      <c r="A9" s="3"/>
      <c r="B9" s="1"/>
      <c r="C9" s="1"/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 t="s">
        <v>139</v>
      </c>
      <c r="V9" s="88"/>
      <c r="W9" s="11" t="s">
        <v>61</v>
      </c>
      <c r="X9" s="70"/>
      <c r="Y9" s="71"/>
      <c r="Z9" s="13"/>
    </row>
    <row r="10" spans="1:26" ht="25.05" customHeight="1" thickBot="1" x14ac:dyDescent="0.35">
      <c r="A10" s="3"/>
      <c r="G10" s="4"/>
      <c r="H10" s="1"/>
      <c r="I10" s="1"/>
      <c r="J10" s="1"/>
      <c r="K10" s="2" t="s">
        <v>1</v>
      </c>
      <c r="L10" s="53" t="s">
        <v>2</v>
      </c>
      <c r="M10" s="54"/>
      <c r="N10" s="45" t="s">
        <v>136</v>
      </c>
      <c r="P10" s="98"/>
      <c r="Q10" s="2" t="s">
        <v>43</v>
      </c>
      <c r="R10" s="51">
        <v>6500</v>
      </c>
      <c r="S10" s="12" t="s">
        <v>45</v>
      </c>
      <c r="T10" s="45" t="s">
        <v>147</v>
      </c>
      <c r="V10" s="89"/>
      <c r="W10" s="55" t="s">
        <v>53</v>
      </c>
      <c r="X10" s="72"/>
      <c r="Y10" s="73" t="s">
        <v>33</v>
      </c>
      <c r="Z10" s="57"/>
    </row>
    <row r="11" spans="1:26" ht="25.05" customHeight="1" x14ac:dyDescent="0.3">
      <c r="A11" s="3"/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37.200000000000003" thickBot="1" x14ac:dyDescent="0.35">
      <c r="A12" s="3"/>
      <c r="G12" s="4"/>
      <c r="H12" s="1"/>
      <c r="I12" s="1"/>
      <c r="J12" s="1"/>
      <c r="K12" s="2" t="s">
        <v>63</v>
      </c>
      <c r="L12" s="53">
        <v>274</v>
      </c>
      <c r="M12" s="54" t="s">
        <v>33</v>
      </c>
      <c r="N12" s="45" t="s">
        <v>137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37.200000000000003" thickBot="1" x14ac:dyDescent="0.35">
      <c r="A13" s="3"/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138</v>
      </c>
      <c r="P13" s="2" t="s">
        <v>56</v>
      </c>
      <c r="Q13" s="2" t="s">
        <v>54</v>
      </c>
      <c r="R13" s="51">
        <v>3</v>
      </c>
      <c r="S13" s="12"/>
      <c r="T13" s="45" t="s">
        <v>141</v>
      </c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36.6" x14ac:dyDescent="0.3">
      <c r="A20" s="3"/>
      <c r="G20" s="4"/>
      <c r="K20" s="2" t="s">
        <v>107</v>
      </c>
      <c r="L20" s="53">
        <v>15</v>
      </c>
      <c r="M20" s="44"/>
      <c r="N20" s="45" t="s">
        <v>142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4">
      <c r="A21" s="3"/>
      <c r="G21" s="4"/>
      <c r="K21" s="1"/>
      <c r="L21" s="40" t="s">
        <v>68</v>
      </c>
      <c r="M21" s="41"/>
      <c r="N21" s="42" t="s">
        <v>34</v>
      </c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3</v>
      </c>
      <c r="L22" s="62" t="s">
        <v>19</v>
      </c>
      <c r="M22" s="54"/>
      <c r="N22" s="45"/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69</v>
      </c>
      <c r="L23" s="53">
        <v>300</v>
      </c>
      <c r="M23" s="54" t="s">
        <v>44</v>
      </c>
      <c r="N23" s="45" t="s">
        <v>76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2" t="s">
        <v>70</v>
      </c>
      <c r="L24" s="53">
        <v>150</v>
      </c>
      <c r="M24" s="54" t="s">
        <v>98</v>
      </c>
      <c r="N24" s="45" t="s">
        <v>77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98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2C3E8A-4022-4B67-AFDF-08635A5A4F6C}">
          <x14:formula1>
            <xm:f>'Base de données'!$G$2:$G$4</xm:f>
          </x14:formula1>
          <xm:sqref>L7</xm:sqref>
        </x14:dataValidation>
        <x14:dataValidation type="list" allowBlank="1" showInputMessage="1" showErrorMessage="1" xr:uid="{9F1DA369-78AE-4494-BCA7-E6741020EABB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CAB52EE1-EFB4-4AD6-B957-F72CE959D780}">
          <x14:formula1>
            <xm:f>'Base de données'!$B$2:$B$24</xm:f>
          </x14:formula1>
          <xm:sqref>L22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B70A4-4200-4664-A3DB-356B3F29375B}">
  <sheetPr codeName="Sheet15"/>
  <dimension ref="A1:AA36"/>
  <sheetViews>
    <sheetView workbookViewId="0">
      <selection activeCell="P1" sqref="P1:T13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131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131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/>
      <c r="Y2" s="68" t="s">
        <v>57</v>
      </c>
      <c r="Z2" s="69"/>
    </row>
    <row r="3" spans="1:26" ht="25.05" customHeight="1" thickBot="1" x14ac:dyDescent="0.35">
      <c r="A3" s="3" t="s">
        <v>99</v>
      </c>
      <c r="B3">
        <v>0.74053932428359981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/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/>
      <c r="Y4" s="73" t="s">
        <v>33</v>
      </c>
      <c r="Z4" s="57" t="s">
        <v>81</v>
      </c>
    </row>
    <row r="5" spans="1:26" ht="24.6" x14ac:dyDescent="0.3">
      <c r="A5" s="3" t="s">
        <v>31</v>
      </c>
      <c r="B5">
        <v>392.76530000000002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98"/>
      <c r="Q5" s="2" t="s">
        <v>47</v>
      </c>
      <c r="R5" s="51">
        <v>0.125</v>
      </c>
      <c r="S5" s="12"/>
      <c r="T5" s="45" t="s">
        <v>60</v>
      </c>
      <c r="V5" s="87">
        <v>2</v>
      </c>
      <c r="W5" s="52" t="s">
        <v>52</v>
      </c>
      <c r="X5" s="67"/>
      <c r="Y5" s="68" t="s">
        <v>57</v>
      </c>
      <c r="Z5" s="69"/>
    </row>
    <row r="6" spans="1:26" ht="24.6" x14ac:dyDescent="0.3">
      <c r="A6" s="3" t="s">
        <v>90</v>
      </c>
      <c r="B6">
        <v>339.06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/>
      <c r="Y6" s="71"/>
      <c r="Z6" s="13"/>
    </row>
    <row r="7" spans="1:26" ht="25.05" customHeight="1" thickBot="1" x14ac:dyDescent="0.35">
      <c r="A7" s="3" t="s">
        <v>21</v>
      </c>
      <c r="B7">
        <v>0.32290000000000002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/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99"/>
      <c r="Q8" s="2" t="s">
        <v>50</v>
      </c>
      <c r="R8" s="51">
        <v>2000</v>
      </c>
      <c r="S8" s="12" t="s">
        <v>57</v>
      </c>
      <c r="T8" s="45"/>
      <c r="V8" s="87">
        <v>3</v>
      </c>
      <c r="W8" s="52" t="s">
        <v>52</v>
      </c>
      <c r="X8" s="67"/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/>
      <c r="V9" s="88"/>
      <c r="W9" s="11" t="s">
        <v>61</v>
      </c>
      <c r="X9" s="70"/>
      <c r="Y9" s="71"/>
      <c r="Z9" s="13"/>
    </row>
    <row r="10" spans="1:26" ht="25.05" customHeight="1" thickBot="1" x14ac:dyDescent="0.35">
      <c r="A10" s="3" t="s">
        <v>91</v>
      </c>
      <c r="B10">
        <v>1470</v>
      </c>
      <c r="C10">
        <v>20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/>
      <c r="Y10" s="73" t="s">
        <v>33</v>
      </c>
      <c r="Z10" s="57"/>
    </row>
    <row r="11" spans="1:26" ht="25.05" customHeight="1" x14ac:dyDescent="0.3">
      <c r="A11" s="3"/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/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25.05" customHeight="1" thickBot="1" x14ac:dyDescent="0.35">
      <c r="A13" s="3"/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0</v>
      </c>
      <c r="S13" s="12"/>
      <c r="T13" s="45"/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19</v>
      </c>
      <c r="M21" s="54"/>
      <c r="N21" s="45"/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20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93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3E3A7D1-F582-4657-9804-FF664FE9EAA7}">
          <x14:formula1>
            <xm:f>'Base de données'!$G$2:$G$4</xm:f>
          </x14:formula1>
          <xm:sqref>L7</xm:sqref>
        </x14:dataValidation>
        <x14:dataValidation type="list" allowBlank="1" showInputMessage="1" showErrorMessage="1" xr:uid="{F5736745-05DA-428C-AED5-6A24FED0DC86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31F1E28B-2AC0-4AA4-8952-7C36B1C4EDC1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E950E-75F5-4198-864F-D2007E86139C}">
  <sheetPr codeName="Sheet14"/>
  <dimension ref="A1:AA36"/>
  <sheetViews>
    <sheetView topLeftCell="A38" workbookViewId="0">
      <selection activeCell="R12" sqref="R12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130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130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/>
      <c r="Y2" s="68" t="s">
        <v>57</v>
      </c>
      <c r="Z2" s="69"/>
    </row>
    <row r="3" spans="1:26" ht="25.05" customHeight="1" thickBot="1" x14ac:dyDescent="0.35">
      <c r="A3" s="3" t="s">
        <v>99</v>
      </c>
      <c r="B3">
        <v>0.30038322210311891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/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/>
      <c r="Y4" s="73" t="s">
        <v>33</v>
      </c>
      <c r="Z4" s="57" t="s">
        <v>81</v>
      </c>
    </row>
    <row r="5" spans="1:26" ht="24.6" x14ac:dyDescent="0.3">
      <c r="A5" s="3" t="s">
        <v>31</v>
      </c>
      <c r="B5">
        <v>359.23090000000002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98"/>
      <c r="Q5" s="2" t="s">
        <v>47</v>
      </c>
      <c r="R5" s="51">
        <v>0.125</v>
      </c>
      <c r="S5" s="12"/>
      <c r="T5" s="45" t="s">
        <v>60</v>
      </c>
      <c r="V5" s="87">
        <v>2</v>
      </c>
      <c r="W5" s="52" t="s">
        <v>52</v>
      </c>
      <c r="X5" s="67"/>
      <c r="Y5" s="68" t="s">
        <v>57</v>
      </c>
      <c r="Z5" s="69"/>
    </row>
    <row r="6" spans="1:26" ht="24.6" x14ac:dyDescent="0.3">
      <c r="A6" s="3" t="s">
        <v>90</v>
      </c>
      <c r="B6">
        <v>364.06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/>
      <c r="Y6" s="71"/>
      <c r="Z6" s="13"/>
    </row>
    <row r="7" spans="1:26" ht="25.05" customHeight="1" thickBot="1" x14ac:dyDescent="0.35">
      <c r="A7" s="3" t="s">
        <v>21</v>
      </c>
      <c r="B7">
        <v>0.31380000000000002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/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99"/>
      <c r="Q8" s="2" t="s">
        <v>50</v>
      </c>
      <c r="R8" s="51">
        <v>1000</v>
      </c>
      <c r="S8" s="12" t="s">
        <v>57</v>
      </c>
      <c r="T8" s="45"/>
      <c r="V8" s="87">
        <v>3</v>
      </c>
      <c r="W8" s="52" t="s">
        <v>52</v>
      </c>
      <c r="X8" s="67"/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/>
      <c r="V9" s="88"/>
      <c r="W9" s="11" t="s">
        <v>61</v>
      </c>
      <c r="X9" s="70"/>
      <c r="Y9" s="71"/>
      <c r="Z9" s="13"/>
    </row>
    <row r="10" spans="1:26" ht="25.05" customHeight="1" thickBot="1" x14ac:dyDescent="0.35">
      <c r="A10" s="3" t="s">
        <v>91</v>
      </c>
      <c r="B10" t="s">
        <v>102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/>
      <c r="Y10" s="73" t="s">
        <v>33</v>
      </c>
      <c r="Z10" s="57"/>
    </row>
    <row r="11" spans="1:26" ht="25.05" customHeight="1" x14ac:dyDescent="0.3">
      <c r="A11" s="3"/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/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99"/>
      <c r="Q12" s="2" t="s">
        <v>53</v>
      </c>
      <c r="R12" s="51">
        <v>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25.05" customHeight="1" thickBot="1" x14ac:dyDescent="0.35">
      <c r="A13" s="3"/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0</v>
      </c>
      <c r="S13" s="12"/>
      <c r="T13" s="45"/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19</v>
      </c>
      <c r="M21" s="54"/>
      <c r="N21" s="45"/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10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79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2527DE-690F-4E93-9F29-321784F1B267}">
          <x14:formula1>
            <xm:f>'Base de données'!$G$2:$G$4</xm:f>
          </x14:formula1>
          <xm:sqref>L7</xm:sqref>
        </x14:dataValidation>
        <x14:dataValidation type="list" allowBlank="1" showInputMessage="1" showErrorMessage="1" xr:uid="{F8950378-118E-4A48-A710-8C02A187772D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7175B205-33A3-462A-BC66-804B5EA8E12F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76644-0A1A-4711-A82C-7EB371A3E799}">
  <sheetPr codeName="Sheet13"/>
  <dimension ref="A1:AA36"/>
  <sheetViews>
    <sheetView topLeftCell="A41" workbookViewId="0">
      <selection activeCell="G10" sqref="G10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127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127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2000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0.79074295759201052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0.18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417.85500000000002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98"/>
      <c r="Q5" s="2" t="s">
        <v>47</v>
      </c>
      <c r="R5" s="51">
        <v>0.125</v>
      </c>
      <c r="S5" s="12"/>
      <c r="T5" s="45" t="s">
        <v>60</v>
      </c>
      <c r="V5" s="87">
        <v>2</v>
      </c>
      <c r="W5" s="52" t="s">
        <v>52</v>
      </c>
      <c r="X5" s="67">
        <v>1000</v>
      </c>
      <c r="Y5" s="68" t="s">
        <v>57</v>
      </c>
      <c r="Z5" s="69"/>
    </row>
    <row r="6" spans="1:26" ht="24.6" x14ac:dyDescent="0.3">
      <c r="A6" s="3" t="s">
        <v>90</v>
      </c>
      <c r="B6">
        <v>445.31</v>
      </c>
      <c r="C6" t="s">
        <v>44</v>
      </c>
      <c r="D6" s="100" t="s">
        <v>128</v>
      </c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0.1</v>
      </c>
      <c r="Y6" s="71"/>
      <c r="Z6" s="13"/>
    </row>
    <row r="7" spans="1:26" ht="25.05" customHeight="1" thickBot="1" x14ac:dyDescent="0.35">
      <c r="A7" s="3" t="s">
        <v>21</v>
      </c>
      <c r="B7">
        <v>0.32869999999999999</v>
      </c>
      <c r="D7" s="90" t="s">
        <v>129</v>
      </c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99"/>
      <c r="Q8" s="2" t="s">
        <v>50</v>
      </c>
      <c r="R8" s="51">
        <v>3000</v>
      </c>
      <c r="S8" s="12" t="s">
        <v>57</v>
      </c>
      <c r="T8" s="45"/>
      <c r="V8" s="87">
        <v>3</v>
      </c>
      <c r="W8" s="52" t="s">
        <v>52</v>
      </c>
      <c r="X8" s="67"/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/>
      <c r="V9" s="88"/>
      <c r="W9" s="11" t="s">
        <v>61</v>
      </c>
      <c r="X9" s="70"/>
      <c r="Y9" s="71"/>
      <c r="Z9" s="13"/>
    </row>
    <row r="10" spans="1:26" ht="25.05" customHeight="1" thickBot="1" x14ac:dyDescent="0.35">
      <c r="A10" s="3" t="s">
        <v>91</v>
      </c>
      <c r="B10">
        <v>932</v>
      </c>
      <c r="C10">
        <v>19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/>
      <c r="Y10" s="73" t="s">
        <v>33</v>
      </c>
      <c r="Z10" s="57"/>
    </row>
    <row r="11" spans="1:26" ht="25.05" customHeight="1" x14ac:dyDescent="0.3">
      <c r="A11" s="3" t="s">
        <v>92</v>
      </c>
      <c r="B11" t="s">
        <v>102</v>
      </c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99"/>
      <c r="Q12" s="2" t="s">
        <v>53</v>
      </c>
      <c r="R12" s="51">
        <v>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25.05" customHeight="1" thickBot="1" x14ac:dyDescent="0.35">
      <c r="A13" s="3"/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2</v>
      </c>
      <c r="S13" s="12"/>
      <c r="T13" s="45"/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19</v>
      </c>
      <c r="M21" s="54"/>
      <c r="N21" s="45"/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10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7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71474E1-3E35-4C4F-927B-9B830CB9B2F1}">
          <x14:formula1>
            <xm:f>'Base de données'!$G$2:$G$4</xm:f>
          </x14:formula1>
          <xm:sqref>L7</xm:sqref>
        </x14:dataValidation>
        <x14:dataValidation type="list" allowBlank="1" showInputMessage="1" showErrorMessage="1" xr:uid="{DB10970A-5E3E-4BAC-B856-EEA03E92029C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8C590073-3420-4661-AD64-55006006E0AB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94C1-8F73-438A-A5B3-52780358EA07}">
  <sheetPr codeName="Sheet11"/>
  <dimension ref="A1:AA36"/>
  <sheetViews>
    <sheetView topLeftCell="A36" workbookViewId="0">
      <selection activeCell="I2" sqref="I2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125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125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4000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1.6033538341522218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0.18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433.03449999999998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98"/>
      <c r="Q5" s="2" t="s">
        <v>47</v>
      </c>
      <c r="R5" s="51">
        <v>0.125</v>
      </c>
      <c r="S5" s="12"/>
      <c r="T5" s="45" t="s">
        <v>60</v>
      </c>
      <c r="V5" s="87">
        <v>2</v>
      </c>
      <c r="W5" s="52" t="s">
        <v>52</v>
      </c>
      <c r="X5" s="67">
        <v>3000</v>
      </c>
      <c r="Y5" s="68" t="s">
        <v>57</v>
      </c>
      <c r="Z5" s="69"/>
    </row>
    <row r="6" spans="1:26" ht="24.6" x14ac:dyDescent="0.3">
      <c r="A6" s="3" t="s">
        <v>90</v>
      </c>
      <c r="B6">
        <v>445.31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0.1</v>
      </c>
      <c r="Y6" s="71"/>
      <c r="Z6" s="13"/>
    </row>
    <row r="7" spans="1:26" ht="25.05" customHeight="1" thickBot="1" x14ac:dyDescent="0.35">
      <c r="A7" s="3" t="s">
        <v>21</v>
      </c>
      <c r="B7">
        <v>0.32369999999999999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99"/>
      <c r="Q8" s="2" t="s">
        <v>50</v>
      </c>
      <c r="R8" s="51">
        <v>5000</v>
      </c>
      <c r="S8" s="12" t="s">
        <v>57</v>
      </c>
      <c r="T8" s="45"/>
      <c r="V8" s="87">
        <v>3</v>
      </c>
      <c r="W8" s="52" t="s">
        <v>52</v>
      </c>
      <c r="X8" s="67">
        <v>2000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/>
      <c r="V9" s="88"/>
      <c r="W9" s="11" t="s">
        <v>61</v>
      </c>
      <c r="X9" s="70">
        <v>0.05</v>
      </c>
      <c r="Y9" s="71"/>
      <c r="Z9" s="13"/>
    </row>
    <row r="10" spans="1:26" ht="25.05" customHeight="1" thickBot="1" x14ac:dyDescent="0.35">
      <c r="A10" s="3" t="s">
        <v>91</v>
      </c>
      <c r="B10">
        <v>758</v>
      </c>
      <c r="C10">
        <v>25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811</v>
      </c>
      <c r="C11">
        <v>27</v>
      </c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>
        <v>1000</v>
      </c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>
        <v>0</v>
      </c>
      <c r="Y12" s="71"/>
      <c r="Z12" s="13"/>
    </row>
    <row r="13" spans="1:26" ht="25.05" customHeight="1" thickBot="1" x14ac:dyDescent="0.35">
      <c r="A13" s="3" t="s">
        <v>103</v>
      </c>
      <c r="B13">
        <v>778</v>
      </c>
      <c r="C13">
        <v>26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4</v>
      </c>
      <c r="S13" s="12"/>
      <c r="T13" s="45"/>
      <c r="V13" s="89"/>
      <c r="W13" s="55" t="s">
        <v>53</v>
      </c>
      <c r="X13" s="72">
        <v>700</v>
      </c>
      <c r="Y13" s="73" t="s">
        <v>33</v>
      </c>
      <c r="Z13" s="57"/>
    </row>
    <row r="14" spans="1:26" ht="25.05" customHeight="1" x14ac:dyDescent="0.3">
      <c r="A14" s="3" t="s">
        <v>126</v>
      </c>
      <c r="B14">
        <v>785</v>
      </c>
      <c r="C14">
        <v>26</v>
      </c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13</v>
      </c>
      <c r="M21" s="54"/>
      <c r="N21" s="45"/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10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22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6CC8D08-BBAB-4E0E-A97E-C8371CA7D0E1}">
          <x14:formula1>
            <xm:f>'Base de données'!$G$2:$G$4</xm:f>
          </x14:formula1>
          <xm:sqref>L7</xm:sqref>
        </x14:dataValidation>
        <x14:dataValidation type="list" allowBlank="1" showInputMessage="1" showErrorMessage="1" xr:uid="{EE022062-C5E4-4DAA-A34F-F9437F52CC37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C4D8865B-F5E7-4677-821B-6D4082600917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C5362-A4FC-4601-8C34-A30366F816A5}">
  <sheetPr codeName="Sheet12"/>
  <dimension ref="A1:AA36"/>
  <sheetViews>
    <sheetView topLeftCell="A34" workbookViewId="0">
      <selection activeCell="I9" sqref="I9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122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122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2.175822595755259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0.18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450.52229999999997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98"/>
      <c r="Q5" s="2" t="s">
        <v>47</v>
      </c>
      <c r="R5" s="51">
        <v>0.125</v>
      </c>
      <c r="S5" s="12"/>
      <c r="T5" s="45" t="s">
        <v>60</v>
      </c>
      <c r="V5" s="87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454.69</v>
      </c>
      <c r="C6" t="s">
        <v>44</v>
      </c>
      <c r="D6" s="100" t="s">
        <v>123</v>
      </c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0.1</v>
      </c>
      <c r="Y6" s="71"/>
      <c r="Z6" s="13"/>
    </row>
    <row r="7" spans="1:26" ht="25.05" customHeight="1" thickBot="1" x14ac:dyDescent="0.35">
      <c r="A7" s="3" t="s">
        <v>21</v>
      </c>
      <c r="B7">
        <v>0.34989999999999999</v>
      </c>
      <c r="D7" s="90" t="s">
        <v>124</v>
      </c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99"/>
      <c r="Q8" s="2" t="s">
        <v>50</v>
      </c>
      <c r="R8" s="51">
        <v>4000</v>
      </c>
      <c r="S8" s="12" t="s">
        <v>57</v>
      </c>
      <c r="T8" s="45"/>
      <c r="V8" s="87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/>
      <c r="V9" s="88"/>
      <c r="W9" s="11" t="s">
        <v>61</v>
      </c>
      <c r="X9" s="70">
        <v>0.05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10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9F34AA-D562-4BE1-B57B-38EFBE6C07E8}">
          <x14:formula1>
            <xm:f>'Base de données'!$G$2:$G$4</xm:f>
          </x14:formula1>
          <xm:sqref>L7</xm:sqref>
        </x14:dataValidation>
        <x14:dataValidation type="list" allowBlank="1" showInputMessage="1" showErrorMessage="1" xr:uid="{CF719474-82F5-44D2-A4B8-07C5AB94C0BC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981604C4-778E-4E3D-A13D-32833FE36A18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53BF0-0767-4E07-BB11-D0EDB5600F6E}">
  <sheetPr codeName="Sheet10"/>
  <dimension ref="A1:AA36"/>
  <sheetViews>
    <sheetView workbookViewId="0">
      <selection activeCell="G226" sqref="G226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119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119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1.3489385445912678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0.18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450.30590000000001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98"/>
      <c r="Q5" s="2" t="s">
        <v>47</v>
      </c>
      <c r="R5" s="51">
        <v>0.125</v>
      </c>
      <c r="S5" s="12"/>
      <c r="T5" s="45" t="s">
        <v>60</v>
      </c>
      <c r="V5" s="87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454.47</v>
      </c>
      <c r="C6" t="s">
        <v>44</v>
      </c>
      <c r="D6" s="100" t="s">
        <v>120</v>
      </c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0.1</v>
      </c>
      <c r="Y6" s="71"/>
      <c r="Z6" s="13"/>
    </row>
    <row r="7" spans="1:26" ht="25.05" customHeight="1" thickBot="1" x14ac:dyDescent="0.35">
      <c r="A7" s="3" t="s">
        <v>21</v>
      </c>
      <c r="B7">
        <v>0.35089999999999999</v>
      </c>
      <c r="D7" s="100" t="s">
        <v>121</v>
      </c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99"/>
      <c r="Q8" s="2" t="s">
        <v>50</v>
      </c>
      <c r="R8" s="51">
        <v>4000</v>
      </c>
      <c r="S8" s="12" t="s">
        <v>57</v>
      </c>
      <c r="T8" s="45"/>
      <c r="V8" s="87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/>
      <c r="V9" s="88"/>
      <c r="W9" s="11" t="s">
        <v>61</v>
      </c>
      <c r="X9" s="70">
        <v>0.05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600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290</v>
      </c>
      <c r="M12" s="54" t="s">
        <v>33</v>
      </c>
      <c r="N12" s="45" t="s">
        <v>71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10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3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DA66C1-1E92-4078-AF4D-574FE9979DB4}">
          <x14:formula1>
            <xm:f>'Base de données'!$G$2:$G$4</xm:f>
          </x14:formula1>
          <xm:sqref>L7</xm:sqref>
        </x14:dataValidation>
        <x14:dataValidation type="list" allowBlank="1" showInputMessage="1" showErrorMessage="1" xr:uid="{C148B910-FE28-4B8C-B1F5-7418DF3B5C36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5B9D36EA-6B48-47AC-8C5A-7E0585ABA795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A3F88-2346-44A7-8B1E-8B01B7BD365F}">
  <sheetPr codeName="Sheet5"/>
  <dimension ref="A1:AA36"/>
  <sheetViews>
    <sheetView workbookViewId="0">
      <selection activeCell="H22" sqref="H22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116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116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1.3239625374476114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0.18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445.43239999999997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98"/>
      <c r="Q5" s="2" t="s">
        <v>47</v>
      </c>
      <c r="R5" s="51">
        <v>0.125</v>
      </c>
      <c r="S5" s="12"/>
      <c r="T5" s="45" t="s">
        <v>60</v>
      </c>
      <c r="V5" s="87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449.61</v>
      </c>
      <c r="C6" t="s">
        <v>44</v>
      </c>
      <c r="D6" s="100" t="s">
        <v>117</v>
      </c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0.1</v>
      </c>
      <c r="Y6" s="71"/>
      <c r="Z6" s="13"/>
    </row>
    <row r="7" spans="1:26" ht="25.05" customHeight="1" thickBot="1" x14ac:dyDescent="0.35">
      <c r="A7" s="3" t="s">
        <v>21</v>
      </c>
      <c r="B7">
        <v>0.35070000000000001</v>
      </c>
      <c r="D7" s="100" t="s">
        <v>118</v>
      </c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99"/>
      <c r="Q8" s="2" t="s">
        <v>50</v>
      </c>
      <c r="R8" s="51">
        <v>4000</v>
      </c>
      <c r="S8" s="12" t="s">
        <v>57</v>
      </c>
      <c r="T8" s="45"/>
      <c r="V8" s="87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/>
      <c r="V9" s="88"/>
      <c r="W9" s="11" t="s">
        <v>61</v>
      </c>
      <c r="X9" s="70">
        <v>0.05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1500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10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82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7AA9109-E510-47A7-AA0F-EA6F400F2C45}">
          <x14:formula1>
            <xm:f>'Base de données'!$G$2:$G$4</xm:f>
          </x14:formula1>
          <xm:sqref>L7</xm:sqref>
        </x14:dataValidation>
        <x14:dataValidation type="list" allowBlank="1" showInputMessage="1" showErrorMessage="1" xr:uid="{EAE579D1-B78A-4A0B-9995-02F99A519FB8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0A18E02F-E672-419B-B723-425FB7A50EF1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84C8C-B3A6-40F1-9FA1-895630E3B403}">
  <sheetPr codeName="Sheet4"/>
  <dimension ref="A1:AA36"/>
  <sheetViews>
    <sheetView topLeftCell="A215" workbookViewId="0">
      <selection activeCell="I10" sqref="I10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106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106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1.3234231154123941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424.72629999999998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98"/>
      <c r="Q5" s="2" t="s">
        <v>47</v>
      </c>
      <c r="R5" s="51">
        <v>0</v>
      </c>
      <c r="S5" s="12"/>
      <c r="T5" s="45" t="s">
        <v>60</v>
      </c>
      <c r="V5" s="87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304.69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0.35010000000000002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99"/>
      <c r="Q8" s="2" t="s">
        <v>50</v>
      </c>
      <c r="R8" s="51">
        <v>4000</v>
      </c>
      <c r="S8" s="12" t="s">
        <v>57</v>
      </c>
      <c r="T8" s="45"/>
      <c r="V8" s="87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/>
      <c r="V9" s="88"/>
      <c r="W9" s="11" t="s">
        <v>61</v>
      </c>
      <c r="X9" s="70">
        <v>0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1500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16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386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B6B650-8608-4D34-92C6-FF0392E8D103}">
          <x14:formula1>
            <xm:f>'Base de données'!$G$2:$G$4</xm:f>
          </x14:formula1>
          <xm:sqref>L7</xm:sqref>
        </x14:dataValidation>
        <x14:dataValidation type="list" allowBlank="1" showInputMessage="1" showErrorMessage="1" xr:uid="{37C9D3AB-8476-4CDD-BD59-DE7B4205BCD9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4D8EEB3E-30D8-47DB-86B7-7DA46377E91A}">
          <x14:formula1>
            <xm:f>'Base de données'!$B$2:$B$24</xm:f>
          </x14:formula1>
          <xm:sqref>L21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B1DC9-6A7A-4D09-902D-6456C5AB62AA}">
  <sheetPr codeName="Sheet6"/>
  <dimension ref="A1:AA36"/>
  <sheetViews>
    <sheetView workbookViewId="0">
      <selection activeCell="G11" sqref="G11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109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109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1.3157549460728963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429.16070000000002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98"/>
      <c r="Q5" s="2" t="s">
        <v>47</v>
      </c>
      <c r="R5" s="51">
        <v>0</v>
      </c>
      <c r="S5" s="12"/>
      <c r="T5" s="45" t="s">
        <v>60</v>
      </c>
      <c r="V5" s="87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307.81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0.35049999999999998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99"/>
      <c r="Q8" s="2" t="s">
        <v>50</v>
      </c>
      <c r="R8" s="51">
        <v>4000</v>
      </c>
      <c r="S8" s="12" t="s">
        <v>57</v>
      </c>
      <c r="T8" s="45"/>
      <c r="V8" s="87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/>
      <c r="V9" s="88"/>
      <c r="W9" s="11" t="s">
        <v>61</v>
      </c>
      <c r="X9" s="70">
        <v>0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1500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 t="s">
        <v>115</v>
      </c>
      <c r="I12" s="1"/>
      <c r="J12" s="1"/>
      <c r="K12" s="2" t="s">
        <v>63</v>
      </c>
      <c r="L12" s="53">
        <v>290</v>
      </c>
      <c r="M12" s="54" t="s">
        <v>33</v>
      </c>
      <c r="N12" s="45" t="s">
        <v>71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16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3285FA-D2F2-4D89-B1F1-DDE335086F9D}">
          <x14:formula1>
            <xm:f>'Base de données'!$G$2:$G$4</xm:f>
          </x14:formula1>
          <xm:sqref>L7</xm:sqref>
        </x14:dataValidation>
        <x14:dataValidation type="list" allowBlank="1" showInputMessage="1" showErrorMessage="1" xr:uid="{362872CE-DFD0-4761-B1FA-9CA035C6659A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4B00ED9B-2419-4757-B5E0-D05A7665AF25}">
          <x14:formula1>
            <xm:f>'Base de données'!$B$2:$B$24</xm:f>
          </x14:formula1>
          <xm:sqref>L21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D05E3-DA42-4DC0-A714-6DEF9AD9678B}">
  <sheetPr codeName="Sheet8"/>
  <dimension ref="A1:AA36"/>
  <sheetViews>
    <sheetView topLeftCell="A38" workbookViewId="0">
      <selection activeCell="X10" sqref="X10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110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110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1.3153123815854391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</v>
      </c>
      <c r="Y3" s="71"/>
      <c r="Z3" s="13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433.58550000000002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98"/>
      <c r="Q5" s="2" t="s">
        <v>47</v>
      </c>
      <c r="R5" s="51">
        <v>0</v>
      </c>
      <c r="S5" s="12"/>
      <c r="T5" s="45" t="s">
        <v>60</v>
      </c>
      <c r="V5" s="87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310.94</v>
      </c>
      <c r="C6" t="s">
        <v>44</v>
      </c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</v>
      </c>
      <c r="Y6" s="71"/>
      <c r="Z6" s="13"/>
    </row>
    <row r="7" spans="1:26" ht="25.05" customHeight="1" thickBot="1" x14ac:dyDescent="0.35">
      <c r="A7" s="3" t="s">
        <v>21</v>
      </c>
      <c r="B7">
        <v>0.35</v>
      </c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99"/>
      <c r="Q8" s="2" t="s">
        <v>50</v>
      </c>
      <c r="R8" s="51">
        <v>4000</v>
      </c>
      <c r="S8" s="12" t="s">
        <v>57</v>
      </c>
      <c r="T8" s="45"/>
      <c r="V8" s="87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/>
      <c r="V9" s="88"/>
      <c r="W9" s="11" t="s">
        <v>61</v>
      </c>
      <c r="X9" s="70">
        <v>0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200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71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16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314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7BC4C6C-565C-49D0-AE44-B7D0F5F61B15}">
          <x14:formula1>
            <xm:f>'Base de données'!$G$2:$G$4</xm:f>
          </x14:formula1>
          <xm:sqref>L7</xm:sqref>
        </x14:dataValidation>
        <x14:dataValidation type="list" allowBlank="1" showInputMessage="1" showErrorMessage="1" xr:uid="{B7CD84E8-CC9D-4972-AA3B-4FE5E86D57E5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E66A73FE-6042-4791-B7DC-805D76728467}">
          <x14:formula1>
            <xm:f>'Base de données'!$B$2:$B$24</xm:f>
          </x14:formula1>
          <xm:sqref>L21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799B-37D6-444F-B76A-9EF261663332}">
  <sheetPr codeName="Sheet7"/>
  <dimension ref="A1:AA36"/>
  <sheetViews>
    <sheetView workbookViewId="0">
      <selection activeCell="H9" sqref="H9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bestFit="1" customWidth="1"/>
    <col min="26" max="26" width="35" bestFit="1" customWidth="1"/>
    <col min="28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64" t="s">
        <v>56</v>
      </c>
      <c r="Y1" s="65"/>
      <c r="Z1" s="66" t="s">
        <v>34</v>
      </c>
    </row>
    <row r="2" spans="1:26" ht="25.05" customHeight="1" x14ac:dyDescent="0.3">
      <c r="A2" s="14" t="s">
        <v>97</v>
      </c>
      <c r="B2" t="s">
        <v>111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111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67">
        <v>3000</v>
      </c>
      <c r="Y2" s="68" t="s">
        <v>57</v>
      </c>
      <c r="Z2" s="69"/>
    </row>
    <row r="3" spans="1:26" ht="25.05" customHeight="1" thickBot="1" x14ac:dyDescent="0.35">
      <c r="A3" s="3" t="s">
        <v>99</v>
      </c>
      <c r="B3">
        <v>1.3039535244305929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70">
        <v>0.18</v>
      </c>
      <c r="Y3" s="71"/>
      <c r="Z3" s="13" t="s">
        <v>60</v>
      </c>
    </row>
    <row r="4" spans="1:26" ht="25.05" customHeight="1" thickBot="1" x14ac:dyDescent="0.35">
      <c r="A4" s="3"/>
      <c r="D4" s="60" t="s">
        <v>112</v>
      </c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72">
        <v>700</v>
      </c>
      <c r="Y4" s="73" t="s">
        <v>33</v>
      </c>
      <c r="Z4" s="57" t="s">
        <v>81</v>
      </c>
    </row>
    <row r="5" spans="1:26" ht="24.6" x14ac:dyDescent="0.3">
      <c r="A5" s="3" t="s">
        <v>31</v>
      </c>
      <c r="B5">
        <v>450.52229999999997</v>
      </c>
      <c r="C5" t="s">
        <v>80</v>
      </c>
      <c r="D5" s="90"/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98"/>
      <c r="Q5" s="2" t="s">
        <v>47</v>
      </c>
      <c r="R5" s="51">
        <v>0.125</v>
      </c>
      <c r="S5" s="12"/>
      <c r="T5" s="45" t="s">
        <v>60</v>
      </c>
      <c r="V5" s="87">
        <v>2</v>
      </c>
      <c r="W5" s="52" t="s">
        <v>52</v>
      </c>
      <c r="X5" s="67">
        <v>2000</v>
      </c>
      <c r="Y5" s="68" t="s">
        <v>57</v>
      </c>
      <c r="Z5" s="69"/>
    </row>
    <row r="6" spans="1:26" ht="24.6" x14ac:dyDescent="0.3">
      <c r="A6" s="3" t="s">
        <v>90</v>
      </c>
      <c r="B6">
        <v>454.69</v>
      </c>
      <c r="C6" t="s">
        <v>44</v>
      </c>
      <c r="D6" s="100" t="s">
        <v>113</v>
      </c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70">
        <v>0.1</v>
      </c>
      <c r="Y6" s="71"/>
      <c r="Z6" s="13"/>
    </row>
    <row r="7" spans="1:26" ht="25.05" customHeight="1" thickBot="1" x14ac:dyDescent="0.35">
      <c r="A7" s="3" t="s">
        <v>21</v>
      </c>
      <c r="B7">
        <v>0.35070000000000001</v>
      </c>
      <c r="D7" s="90" t="s">
        <v>114</v>
      </c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72">
        <v>700</v>
      </c>
      <c r="Y7" s="73" t="s">
        <v>33</v>
      </c>
      <c r="Z7" s="57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99"/>
      <c r="Q8" s="2" t="s">
        <v>50</v>
      </c>
      <c r="R8" s="51">
        <v>4000</v>
      </c>
      <c r="S8" s="12" t="s">
        <v>57</v>
      </c>
      <c r="T8" s="45"/>
      <c r="V8" s="87">
        <v>3</v>
      </c>
      <c r="W8" s="52" t="s">
        <v>52</v>
      </c>
      <c r="X8" s="67">
        <v>1000</v>
      </c>
      <c r="Y8" s="68" t="s">
        <v>57</v>
      </c>
      <c r="Z8" s="6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1200</v>
      </c>
      <c r="S9" s="12" t="s">
        <v>45</v>
      </c>
      <c r="T9" s="45"/>
      <c r="V9" s="88"/>
      <c r="W9" s="11" t="s">
        <v>61</v>
      </c>
      <c r="X9" s="70">
        <v>0.05</v>
      </c>
      <c r="Y9" s="71"/>
      <c r="Z9" s="13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72">
        <v>0</v>
      </c>
      <c r="Y10" s="73" t="s">
        <v>33</v>
      </c>
      <c r="Z10" s="57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200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67"/>
      <c r="Y11" s="68" t="s">
        <v>57</v>
      </c>
      <c r="Z11" s="69"/>
    </row>
    <row r="12" spans="1:26" ht="25.05" customHeight="1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290</v>
      </c>
      <c r="M12" s="54" t="s">
        <v>33</v>
      </c>
      <c r="N12" s="45" t="s">
        <v>71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70"/>
      <c r="Y12" s="71"/>
      <c r="Z12" s="13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89"/>
      <c r="W13" s="55" t="s">
        <v>53</v>
      </c>
      <c r="X13" s="72"/>
      <c r="Y13" s="73" t="s">
        <v>33</v>
      </c>
      <c r="Z13" s="57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67"/>
      <c r="Y14" s="68" t="s">
        <v>57</v>
      </c>
      <c r="Z14" s="6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70"/>
      <c r="Y15" s="71"/>
      <c r="Z15" s="13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72"/>
      <c r="Y16" s="73" t="s">
        <v>33</v>
      </c>
      <c r="Z16" s="57"/>
    </row>
    <row r="17" spans="1:26" ht="25.05" customHeight="1" x14ac:dyDescent="0.3">
      <c r="A17" s="3"/>
      <c r="G17" s="4"/>
      <c r="K17" s="2" t="s">
        <v>94</v>
      </c>
      <c r="L17" s="53">
        <v>200</v>
      </c>
      <c r="M17" s="54" t="s">
        <v>44</v>
      </c>
      <c r="N17" s="45" t="s">
        <v>84</v>
      </c>
      <c r="V17" s="87">
        <v>6</v>
      </c>
      <c r="W17" s="52" t="s">
        <v>52</v>
      </c>
      <c r="X17" s="67"/>
      <c r="Y17" s="68" t="s">
        <v>57</v>
      </c>
      <c r="Z17" s="6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70"/>
      <c r="Y18" s="71"/>
      <c r="Z18" s="13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72"/>
      <c r="Y19" s="73" t="s">
        <v>33</v>
      </c>
      <c r="Z19" s="57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87">
        <v>7</v>
      </c>
      <c r="W20" s="52" t="s">
        <v>52</v>
      </c>
      <c r="X20" s="67"/>
      <c r="Y20" s="68" t="s">
        <v>57</v>
      </c>
      <c r="Z20" s="6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88"/>
      <c r="W21" s="11" t="s">
        <v>61</v>
      </c>
      <c r="X21" s="70"/>
      <c r="Y21" s="71"/>
      <c r="Z21" s="13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89"/>
      <c r="W22" s="55" t="s">
        <v>53</v>
      </c>
      <c r="X22" s="72"/>
      <c r="Y22" s="73" t="s">
        <v>33</v>
      </c>
      <c r="Z22" s="57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87">
        <v>8</v>
      </c>
      <c r="W23" s="52" t="s">
        <v>52</v>
      </c>
      <c r="X23" s="67"/>
      <c r="Y23" s="68" t="s">
        <v>57</v>
      </c>
      <c r="Z23" s="69"/>
    </row>
    <row r="24" spans="1:26" ht="15" customHeight="1" x14ac:dyDescent="0.3">
      <c r="A24" s="3"/>
      <c r="G24" s="4"/>
      <c r="K24" s="63" t="s">
        <v>107</v>
      </c>
      <c r="L24" s="58">
        <v>16</v>
      </c>
      <c r="V24" s="88"/>
      <c r="W24" s="11" t="s">
        <v>61</v>
      </c>
      <c r="X24" s="70"/>
      <c r="Y24" s="71"/>
      <c r="Z24" s="13"/>
    </row>
    <row r="25" spans="1:26" ht="15" customHeight="1" thickBot="1" x14ac:dyDescent="0.35">
      <c r="A25" s="3"/>
      <c r="G25" s="4"/>
      <c r="V25" s="89"/>
      <c r="W25" s="55" t="s">
        <v>53</v>
      </c>
      <c r="X25" s="72"/>
      <c r="Y25" s="73" t="s">
        <v>33</v>
      </c>
      <c r="Z25" s="57"/>
    </row>
    <row r="26" spans="1:26" ht="15" customHeight="1" x14ac:dyDescent="0.3">
      <c r="A26" s="3"/>
      <c r="G26" s="4"/>
      <c r="V26" s="87">
        <v>9</v>
      </c>
      <c r="W26" s="52" t="s">
        <v>52</v>
      </c>
      <c r="X26" s="67"/>
      <c r="Y26" s="68" t="s">
        <v>57</v>
      </c>
      <c r="Z26" s="69"/>
    </row>
    <row r="27" spans="1:26" ht="15" customHeight="1" x14ac:dyDescent="0.3">
      <c r="A27" s="3"/>
      <c r="G27" s="4"/>
      <c r="V27" s="88"/>
      <c r="W27" s="11" t="s">
        <v>61</v>
      </c>
      <c r="X27" s="70"/>
      <c r="Y27" s="71"/>
      <c r="Z27" s="13"/>
    </row>
    <row r="28" spans="1:26" ht="15" customHeight="1" thickBot="1" x14ac:dyDescent="0.35">
      <c r="A28" s="3"/>
      <c r="G28" s="4"/>
      <c r="V28" s="89"/>
      <c r="W28" s="55" t="s">
        <v>53</v>
      </c>
      <c r="X28" s="72"/>
      <c r="Y28" s="73" t="s">
        <v>33</v>
      </c>
      <c r="Z28" s="57"/>
    </row>
    <row r="29" spans="1:26" ht="15" customHeight="1" x14ac:dyDescent="0.3">
      <c r="A29" s="3"/>
      <c r="G29" s="4"/>
      <c r="V29" s="87">
        <v>10</v>
      </c>
      <c r="W29" s="52" t="s">
        <v>52</v>
      </c>
      <c r="X29" s="67"/>
      <c r="Y29" s="68" t="s">
        <v>57</v>
      </c>
      <c r="Z29" s="69"/>
    </row>
    <row r="30" spans="1:26" ht="15" customHeight="1" x14ac:dyDescent="0.3">
      <c r="A30" s="3"/>
      <c r="G30" s="4"/>
      <c r="V30" s="88"/>
      <c r="W30" s="11" t="s">
        <v>61</v>
      </c>
      <c r="X30" s="70"/>
      <c r="Y30" s="71"/>
      <c r="Z30" s="13"/>
    </row>
    <row r="31" spans="1:26" ht="15" customHeight="1" thickBot="1" x14ac:dyDescent="0.35">
      <c r="A31" s="3"/>
      <c r="G31" s="4"/>
      <c r="V31" s="89"/>
      <c r="W31" s="55" t="s">
        <v>53</v>
      </c>
      <c r="X31" s="72"/>
      <c r="Y31" s="73" t="s">
        <v>33</v>
      </c>
      <c r="Z31" s="57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290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B1852B-55B9-49D2-829F-6F2BCC545787}">
          <x14:formula1>
            <xm:f>'Base de données'!$G$2:$G$4</xm:f>
          </x14:formula1>
          <xm:sqref>L7</xm:sqref>
        </x14:dataValidation>
        <x14:dataValidation type="list" allowBlank="1" showInputMessage="1" showErrorMessage="1" xr:uid="{13FB0D31-16D8-4C3A-8682-A7DDC982DEDB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C7666F9C-8D4E-45EA-B6AD-5A5AFE2DD25D}">
          <x14:formula1>
            <xm:f>'Base de données'!$B$2:$B$24</xm:f>
          </x14:formula1>
          <xm:sqref>L21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10CA9-D639-4C13-9392-23E9CEB4C3D0}">
  <sheetPr codeName="Sheet3"/>
  <dimension ref="A1:Z36"/>
  <sheetViews>
    <sheetView workbookViewId="0">
      <selection activeCell="F10" sqref="F10"/>
    </sheetView>
  </sheetViews>
  <sheetFormatPr defaultRowHeight="15.6" x14ac:dyDescent="0.3"/>
  <cols>
    <col min="1" max="1" width="26.33203125" customWidth="1"/>
    <col min="2" max="2" width="22.109375" customWidth="1"/>
    <col min="3" max="3" width="12.109375" customWidth="1"/>
    <col min="4" max="4" width="14.44140625" bestFit="1" customWidth="1"/>
    <col min="5" max="5" width="10.109375" customWidth="1"/>
    <col min="6" max="6" width="4.88671875" customWidth="1"/>
    <col min="7" max="7" width="20.33203125" customWidth="1"/>
    <col min="8" max="8" width="17.5546875" bestFit="1" customWidth="1"/>
    <col min="9" max="10" width="8.88671875" customWidth="1"/>
    <col min="11" max="11" width="37.109375" bestFit="1" customWidth="1"/>
    <col min="12" max="12" width="16.109375" bestFit="1" customWidth="1"/>
    <col min="13" max="13" width="4.5546875" bestFit="1" customWidth="1"/>
    <col min="14" max="14" width="24.77734375" bestFit="1" customWidth="1"/>
    <col min="16" max="16" width="19.5546875" bestFit="1" customWidth="1"/>
    <col min="17" max="17" width="27" bestFit="1" customWidth="1"/>
    <col min="18" max="18" width="12.5546875" bestFit="1" customWidth="1"/>
    <col min="19" max="19" width="4.33203125" bestFit="1" customWidth="1"/>
    <col min="20" max="20" width="35" bestFit="1" customWidth="1"/>
    <col min="22" max="22" width="5.44140625" style="46" customWidth="1"/>
    <col min="23" max="23" width="24.6640625" bestFit="1" customWidth="1"/>
    <col min="24" max="24" width="27.44140625" style="21" bestFit="1" customWidth="1"/>
    <col min="25" max="25" width="8.88671875" style="21"/>
    <col min="26" max="26" width="35" style="21" bestFit="1" customWidth="1"/>
    <col min="27" max="16384" width="8.88671875" style="21"/>
  </cols>
  <sheetData>
    <row r="1" spans="1:26" ht="33" customHeight="1" thickBot="1" x14ac:dyDescent="0.5">
      <c r="A1" s="95" t="s">
        <v>29</v>
      </c>
      <c r="B1" s="96"/>
      <c r="C1" s="96"/>
      <c r="D1" s="17"/>
      <c r="E1" s="9" t="s">
        <v>30</v>
      </c>
      <c r="F1" s="10"/>
      <c r="G1" s="8"/>
      <c r="H1" s="94" t="s">
        <v>28</v>
      </c>
      <c r="I1" s="94"/>
      <c r="J1" s="94"/>
      <c r="K1" s="1"/>
      <c r="L1" s="40" t="s">
        <v>27</v>
      </c>
      <c r="M1" s="41"/>
      <c r="N1" s="42" t="s">
        <v>34</v>
      </c>
      <c r="P1" s="1"/>
      <c r="Q1" s="1"/>
      <c r="R1" s="43" t="s">
        <v>86</v>
      </c>
      <c r="S1" s="44"/>
      <c r="T1" s="45" t="s">
        <v>34</v>
      </c>
      <c r="X1" s="22" t="s">
        <v>56</v>
      </c>
      <c r="Y1" s="23"/>
      <c r="Z1" s="24" t="s">
        <v>34</v>
      </c>
    </row>
    <row r="2" spans="1:26" ht="25.05" customHeight="1" x14ac:dyDescent="0.3">
      <c r="A2" s="14" t="s">
        <v>97</v>
      </c>
      <c r="B2" t="s">
        <v>106</v>
      </c>
      <c r="D2" s="18" t="s">
        <v>31</v>
      </c>
      <c r="E2" s="25">
        <v>200</v>
      </c>
      <c r="F2" s="12" t="s">
        <v>80</v>
      </c>
      <c r="G2" s="13" t="s">
        <v>78</v>
      </c>
      <c r="H2" s="41" t="s">
        <v>96</v>
      </c>
      <c r="I2" s="47" t="s">
        <v>106</v>
      </c>
      <c r="J2" s="1"/>
      <c r="K2" s="48" t="s">
        <v>5</v>
      </c>
      <c r="L2" s="49">
        <v>0.2</v>
      </c>
      <c r="M2" s="50"/>
      <c r="N2" s="45" t="s">
        <v>35</v>
      </c>
      <c r="P2" s="97" t="s">
        <v>41</v>
      </c>
      <c r="Q2" s="2" t="s">
        <v>42</v>
      </c>
      <c r="R2" s="51">
        <v>400</v>
      </c>
      <c r="S2" s="12" t="s">
        <v>44</v>
      </c>
      <c r="T2" s="45" t="s">
        <v>58</v>
      </c>
      <c r="V2" s="87">
        <v>1</v>
      </c>
      <c r="W2" s="52" t="s">
        <v>52</v>
      </c>
      <c r="X2" s="27">
        <v>3000</v>
      </c>
      <c r="Y2" s="28" t="s">
        <v>57</v>
      </c>
      <c r="Z2" s="29"/>
    </row>
    <row r="3" spans="1:26" ht="25.05" customHeight="1" thickBot="1" x14ac:dyDescent="0.35">
      <c r="A3" s="3" t="s">
        <v>99</v>
      </c>
      <c r="B3">
        <v>1.3873778184254963</v>
      </c>
      <c r="D3" s="19" t="s">
        <v>21</v>
      </c>
      <c r="E3" s="30"/>
      <c r="F3" s="15"/>
      <c r="G3" s="20" t="s">
        <v>79</v>
      </c>
      <c r="H3" s="1"/>
      <c r="I3" s="1"/>
      <c r="J3" s="1"/>
      <c r="K3" s="2" t="s">
        <v>6</v>
      </c>
      <c r="L3" s="53">
        <v>0.95</v>
      </c>
      <c r="M3" s="54"/>
      <c r="N3" s="45"/>
      <c r="P3" s="98"/>
      <c r="Q3" s="2" t="s">
        <v>43</v>
      </c>
      <c r="R3" s="51">
        <v>850</v>
      </c>
      <c r="S3" s="12" t="s">
        <v>45</v>
      </c>
      <c r="T3" s="45" t="s">
        <v>59</v>
      </c>
      <c r="V3" s="88"/>
      <c r="W3" s="11" t="s">
        <v>61</v>
      </c>
      <c r="X3" s="31">
        <v>0</v>
      </c>
      <c r="Y3" s="32"/>
      <c r="Z3" s="26" t="s">
        <v>60</v>
      </c>
    </row>
    <row r="4" spans="1:26" ht="25.05" customHeight="1" thickBot="1" x14ac:dyDescent="0.35">
      <c r="A4" s="3"/>
      <c r="G4" s="4"/>
      <c r="H4" s="1"/>
      <c r="I4" s="1"/>
      <c r="J4" s="1"/>
      <c r="K4" s="2" t="s">
        <v>22</v>
      </c>
      <c r="L4" s="53">
        <v>0.98</v>
      </c>
      <c r="M4" s="54"/>
      <c r="N4" s="45"/>
      <c r="P4" s="98"/>
      <c r="Q4" s="2" t="s">
        <v>46</v>
      </c>
      <c r="R4" s="51">
        <v>2</v>
      </c>
      <c r="S4" s="12"/>
      <c r="T4" s="45"/>
      <c r="V4" s="89"/>
      <c r="W4" s="55" t="s">
        <v>53</v>
      </c>
      <c r="X4" s="33">
        <v>700</v>
      </c>
      <c r="Y4" s="34" t="s">
        <v>33</v>
      </c>
      <c r="Z4" s="35" t="s">
        <v>81</v>
      </c>
    </row>
    <row r="5" spans="1:26" ht="24.6" x14ac:dyDescent="0.3">
      <c r="A5" s="3"/>
      <c r="D5" s="90" t="s">
        <v>108</v>
      </c>
      <c r="E5" s="90"/>
      <c r="F5" s="90"/>
      <c r="G5" s="91"/>
      <c r="H5" s="1"/>
      <c r="I5" s="1"/>
      <c r="J5" s="1"/>
      <c r="K5" s="2" t="s">
        <v>23</v>
      </c>
      <c r="L5" s="53">
        <v>2</v>
      </c>
      <c r="M5" s="54"/>
      <c r="N5" s="45" t="s">
        <v>36</v>
      </c>
      <c r="P5" s="98"/>
      <c r="Q5" s="2" t="s">
        <v>47</v>
      </c>
      <c r="R5" s="51">
        <v>0</v>
      </c>
      <c r="S5" s="12"/>
      <c r="T5" s="45" t="s">
        <v>60</v>
      </c>
      <c r="V5" s="87">
        <v>2</v>
      </c>
      <c r="W5" s="52" t="s">
        <v>52</v>
      </c>
      <c r="X5" s="27">
        <v>2000</v>
      </c>
      <c r="Y5" s="28" t="s">
        <v>57</v>
      </c>
      <c r="Z5" s="29"/>
    </row>
    <row r="6" spans="1:26" ht="24.6" x14ac:dyDescent="0.3">
      <c r="A6" s="3"/>
      <c r="D6" s="90"/>
      <c r="E6" s="90"/>
      <c r="F6" s="90"/>
      <c r="G6" s="91"/>
      <c r="H6" s="1"/>
      <c r="I6" s="1"/>
      <c r="J6" s="1"/>
      <c r="K6" s="2" t="s">
        <v>24</v>
      </c>
      <c r="L6" s="53">
        <v>10</v>
      </c>
      <c r="M6" s="54" t="s">
        <v>32</v>
      </c>
      <c r="N6" s="45" t="s">
        <v>37</v>
      </c>
      <c r="P6" s="98"/>
      <c r="Q6" s="2" t="s">
        <v>48</v>
      </c>
      <c r="R6" s="51">
        <v>750</v>
      </c>
      <c r="S6" s="12" t="s">
        <v>33</v>
      </c>
      <c r="T6" s="45"/>
      <c r="V6" s="88"/>
      <c r="W6" s="11" t="s">
        <v>61</v>
      </c>
      <c r="X6" s="31">
        <v>0</v>
      </c>
      <c r="Y6" s="32"/>
      <c r="Z6" s="26"/>
    </row>
    <row r="7" spans="1:26" ht="25.05" customHeight="1" thickBot="1" x14ac:dyDescent="0.35">
      <c r="A7" s="3"/>
      <c r="D7" s="90"/>
      <c r="E7" s="90"/>
      <c r="F7" s="90"/>
      <c r="G7" s="91"/>
      <c r="H7" s="1"/>
      <c r="I7" s="1"/>
      <c r="J7" s="1"/>
      <c r="K7" s="2" t="s">
        <v>20</v>
      </c>
      <c r="L7" s="53" t="s">
        <v>0</v>
      </c>
      <c r="M7" s="54"/>
      <c r="N7" s="45" t="s">
        <v>38</v>
      </c>
      <c r="P7" s="98"/>
      <c r="Q7" s="2" t="s">
        <v>49</v>
      </c>
      <c r="R7" s="51">
        <v>14000</v>
      </c>
      <c r="S7" s="12" t="s">
        <v>57</v>
      </c>
      <c r="T7" s="45"/>
      <c r="V7" s="89"/>
      <c r="W7" s="55" t="s">
        <v>53</v>
      </c>
      <c r="X7" s="33">
        <v>700</v>
      </c>
      <c r="Y7" s="34" t="s">
        <v>33</v>
      </c>
      <c r="Z7" s="35"/>
    </row>
    <row r="8" spans="1:26" ht="25.05" customHeight="1" x14ac:dyDescent="0.3">
      <c r="A8" s="3"/>
      <c r="D8" s="90"/>
      <c r="E8" s="90"/>
      <c r="F8" s="90"/>
      <c r="G8" s="91"/>
      <c r="H8" s="1"/>
      <c r="I8" s="1"/>
      <c r="J8" s="1"/>
      <c r="K8" s="2" t="s">
        <v>25</v>
      </c>
      <c r="L8" s="53">
        <v>0.1</v>
      </c>
      <c r="M8" s="54" t="s">
        <v>32</v>
      </c>
      <c r="N8" s="45" t="s">
        <v>39</v>
      </c>
      <c r="P8" s="99"/>
      <c r="Q8" s="2" t="s">
        <v>50</v>
      </c>
      <c r="R8" s="51">
        <v>4000</v>
      </c>
      <c r="S8" s="12" t="s">
        <v>57</v>
      </c>
      <c r="T8" s="45"/>
      <c r="V8" s="87">
        <v>3</v>
      </c>
      <c r="W8" s="52" t="s">
        <v>52</v>
      </c>
      <c r="X8" s="27">
        <v>1000</v>
      </c>
      <c r="Y8" s="28" t="s">
        <v>57</v>
      </c>
      <c r="Z8" s="29"/>
    </row>
    <row r="9" spans="1:26" ht="28.8" x14ac:dyDescent="0.3">
      <c r="A9" s="3"/>
      <c r="B9" s="1" t="s">
        <v>101</v>
      </c>
      <c r="C9" s="1" t="s">
        <v>100</v>
      </c>
      <c r="G9" s="4"/>
      <c r="H9" s="1"/>
      <c r="I9" s="1"/>
      <c r="J9" s="1"/>
      <c r="K9" s="2" t="s">
        <v>26</v>
      </c>
      <c r="L9" s="53">
        <v>300</v>
      </c>
      <c r="M9" s="54" t="s">
        <v>33</v>
      </c>
      <c r="N9" s="45" t="s">
        <v>40</v>
      </c>
      <c r="P9" s="97" t="s">
        <v>55</v>
      </c>
      <c r="Q9" s="2" t="s">
        <v>51</v>
      </c>
      <c r="R9" s="51">
        <v>1400</v>
      </c>
      <c r="S9" s="12" t="s">
        <v>45</v>
      </c>
      <c r="T9" s="45"/>
      <c r="V9" s="88"/>
      <c r="W9" s="11" t="s">
        <v>61</v>
      </c>
      <c r="X9" s="31">
        <v>0</v>
      </c>
      <c r="Y9" s="32"/>
      <c r="Z9" s="26"/>
    </row>
    <row r="10" spans="1:26" ht="25.05" customHeight="1" thickBot="1" x14ac:dyDescent="0.35">
      <c r="A10" s="3" t="s">
        <v>91</v>
      </c>
      <c r="B10">
        <v>830</v>
      </c>
      <c r="C10">
        <v>22</v>
      </c>
      <c r="G10" s="4"/>
      <c r="H10" s="1"/>
      <c r="I10" s="1"/>
      <c r="J10" s="1"/>
      <c r="K10" s="2" t="s">
        <v>1</v>
      </c>
      <c r="L10" s="53" t="s">
        <v>2</v>
      </c>
      <c r="M10" s="54"/>
      <c r="N10" s="45"/>
      <c r="P10" s="98"/>
      <c r="Q10" s="2" t="s">
        <v>43</v>
      </c>
      <c r="R10" s="51">
        <v>6500</v>
      </c>
      <c r="S10" s="12" t="s">
        <v>45</v>
      </c>
      <c r="T10" s="45" t="s">
        <v>59</v>
      </c>
      <c r="V10" s="89"/>
      <c r="W10" s="55" t="s">
        <v>53</v>
      </c>
      <c r="X10" s="33">
        <v>0</v>
      </c>
      <c r="Y10" s="34" t="s">
        <v>33</v>
      </c>
      <c r="Z10" s="35"/>
    </row>
    <row r="11" spans="1:26" ht="25.05" customHeight="1" x14ac:dyDescent="0.3">
      <c r="A11" s="3" t="s">
        <v>92</v>
      </c>
      <c r="B11">
        <v>907</v>
      </c>
      <c r="C11">
        <v>24</v>
      </c>
      <c r="G11" s="4"/>
      <c r="H11" s="1"/>
      <c r="I11" s="1"/>
      <c r="J11" s="1"/>
      <c r="K11" s="2" t="s">
        <v>62</v>
      </c>
      <c r="L11" s="53">
        <v>1500</v>
      </c>
      <c r="M11" s="54" t="s">
        <v>44</v>
      </c>
      <c r="N11" s="56" t="s">
        <v>104</v>
      </c>
      <c r="P11" s="98"/>
      <c r="Q11" s="2" t="s">
        <v>52</v>
      </c>
      <c r="R11" s="51">
        <v>10</v>
      </c>
      <c r="S11" s="12" t="s">
        <v>57</v>
      </c>
      <c r="T11" s="45"/>
      <c r="V11" s="87">
        <v>4</v>
      </c>
      <c r="W11" s="52" t="s">
        <v>52</v>
      </c>
      <c r="X11" s="27"/>
      <c r="Y11" s="28" t="s">
        <v>57</v>
      </c>
      <c r="Z11" s="29"/>
    </row>
    <row r="12" spans="1:26" ht="25.05" customHeight="1" thickBot="1" x14ac:dyDescent="0.35">
      <c r="A12" s="3" t="s">
        <v>93</v>
      </c>
      <c r="B12" t="s">
        <v>102</v>
      </c>
      <c r="G12" s="4"/>
      <c r="H12" s="1"/>
      <c r="I12" s="1"/>
      <c r="J12" s="1"/>
      <c r="K12" s="2" t="s">
        <v>63</v>
      </c>
      <c r="L12" s="53">
        <v>274</v>
      </c>
      <c r="M12" s="54" t="s">
        <v>33</v>
      </c>
      <c r="N12" s="45" t="s">
        <v>71</v>
      </c>
      <c r="P12" s="99"/>
      <c r="Q12" s="2" t="s">
        <v>53</v>
      </c>
      <c r="R12" s="51">
        <v>700</v>
      </c>
      <c r="S12" s="12" t="s">
        <v>33</v>
      </c>
      <c r="T12" s="57" t="s">
        <v>81</v>
      </c>
      <c r="V12" s="88"/>
      <c r="W12" s="11" t="s">
        <v>61</v>
      </c>
      <c r="X12" s="31"/>
      <c r="Y12" s="32"/>
      <c r="Z12" s="26"/>
    </row>
    <row r="13" spans="1:26" ht="25.05" customHeight="1" thickBot="1" x14ac:dyDescent="0.35">
      <c r="A13" s="3" t="s">
        <v>103</v>
      </c>
      <c r="B13">
        <v>838</v>
      </c>
      <c r="C13">
        <v>22</v>
      </c>
      <c r="G13" s="4"/>
      <c r="H13" s="1"/>
      <c r="I13" s="1"/>
      <c r="J13" s="1"/>
      <c r="K13" s="2" t="s">
        <v>64</v>
      </c>
      <c r="L13" s="53">
        <v>320</v>
      </c>
      <c r="M13" s="54" t="s">
        <v>33</v>
      </c>
      <c r="N13" s="45" t="s">
        <v>72</v>
      </c>
      <c r="P13" s="2" t="s">
        <v>56</v>
      </c>
      <c r="Q13" s="2" t="s">
        <v>54</v>
      </c>
      <c r="R13" s="51">
        <v>3</v>
      </c>
      <c r="S13" s="12"/>
      <c r="T13" s="45"/>
      <c r="V13" s="89"/>
      <c r="W13" s="55" t="s">
        <v>53</v>
      </c>
      <c r="X13" s="33"/>
      <c r="Y13" s="34" t="s">
        <v>33</v>
      </c>
      <c r="Z13" s="35"/>
    </row>
    <row r="14" spans="1:26" ht="25.05" customHeight="1" x14ac:dyDescent="0.3">
      <c r="A14" s="3"/>
      <c r="G14" s="4"/>
      <c r="K14" s="2" t="s">
        <v>65</v>
      </c>
      <c r="L14" s="53">
        <v>50</v>
      </c>
      <c r="M14" s="54" t="s">
        <v>44</v>
      </c>
      <c r="N14" s="45" t="s">
        <v>73</v>
      </c>
      <c r="V14" s="87">
        <v>5</v>
      </c>
      <c r="W14" s="52" t="s">
        <v>52</v>
      </c>
      <c r="X14" s="27"/>
      <c r="Y14" s="28" t="s">
        <v>57</v>
      </c>
      <c r="Z14" s="29"/>
    </row>
    <row r="15" spans="1:26" ht="25.05" customHeight="1" x14ac:dyDescent="0.3">
      <c r="A15" s="3"/>
      <c r="G15" s="4"/>
      <c r="K15" s="2" t="s">
        <v>66</v>
      </c>
      <c r="L15" s="53">
        <v>600</v>
      </c>
      <c r="M15" s="54" t="s">
        <v>44</v>
      </c>
      <c r="N15" s="45" t="s">
        <v>74</v>
      </c>
      <c r="V15" s="88"/>
      <c r="W15" s="11" t="s">
        <v>61</v>
      </c>
      <c r="X15" s="31"/>
      <c r="Y15" s="32"/>
      <c r="Z15" s="26"/>
    </row>
    <row r="16" spans="1:26" ht="25.05" customHeight="1" thickBot="1" x14ac:dyDescent="0.35">
      <c r="A16" s="3"/>
      <c r="G16" s="4"/>
      <c r="K16" s="2" t="s">
        <v>67</v>
      </c>
      <c r="L16" s="53">
        <v>20</v>
      </c>
      <c r="M16" s="54"/>
      <c r="N16" s="45" t="s">
        <v>75</v>
      </c>
      <c r="V16" s="89"/>
      <c r="W16" s="55" t="s">
        <v>53</v>
      </c>
      <c r="X16" s="33"/>
      <c r="Y16" s="34" t="s">
        <v>33</v>
      </c>
      <c r="Z16" s="35"/>
    </row>
    <row r="17" spans="1:26" ht="25.05" customHeight="1" x14ac:dyDescent="0.3">
      <c r="A17" s="3"/>
      <c r="G17" s="4"/>
      <c r="K17" s="2" t="s">
        <v>94</v>
      </c>
      <c r="L17" s="53">
        <v>50</v>
      </c>
      <c r="M17" s="54" t="s">
        <v>44</v>
      </c>
      <c r="N17" s="45" t="s">
        <v>84</v>
      </c>
      <c r="V17" s="87">
        <v>6</v>
      </c>
      <c r="W17" s="52" t="s">
        <v>52</v>
      </c>
      <c r="X17" s="27"/>
      <c r="Y17" s="28" t="s">
        <v>57</v>
      </c>
      <c r="Z17" s="29"/>
    </row>
    <row r="18" spans="1:26" ht="25.05" customHeight="1" x14ac:dyDescent="0.3">
      <c r="A18" s="3"/>
      <c r="G18" s="4"/>
      <c r="K18" s="2" t="s">
        <v>95</v>
      </c>
      <c r="L18" s="53">
        <v>600</v>
      </c>
      <c r="M18" s="54" t="s">
        <v>44</v>
      </c>
      <c r="N18" s="45" t="s">
        <v>85</v>
      </c>
      <c r="V18" s="88"/>
      <c r="W18" s="11" t="s">
        <v>61</v>
      </c>
      <c r="X18" s="31"/>
      <c r="Y18" s="32"/>
      <c r="Z18" s="26"/>
    </row>
    <row r="19" spans="1:26" ht="25.05" customHeight="1" thickBot="1" x14ac:dyDescent="0.35">
      <c r="A19" s="3"/>
      <c r="G19" s="4"/>
      <c r="K19" s="2" t="s">
        <v>24</v>
      </c>
      <c r="L19" s="58">
        <v>20</v>
      </c>
      <c r="M19" s="59" t="s">
        <v>32</v>
      </c>
      <c r="N19" s="61" t="s">
        <v>105</v>
      </c>
      <c r="V19" s="89"/>
      <c r="W19" s="55" t="s">
        <v>53</v>
      </c>
      <c r="X19" s="33"/>
      <c r="Y19" s="34" t="s">
        <v>33</v>
      </c>
      <c r="Z19" s="35"/>
    </row>
    <row r="20" spans="1:26" ht="25.05" customHeight="1" x14ac:dyDescent="0.4">
      <c r="A20" s="3"/>
      <c r="G20" s="4"/>
      <c r="K20" s="1"/>
      <c r="L20" s="40" t="s">
        <v>68</v>
      </c>
      <c r="M20" s="41"/>
      <c r="N20" s="42" t="s">
        <v>34</v>
      </c>
      <c r="V20" s="87">
        <v>7</v>
      </c>
      <c r="W20" s="52" t="s">
        <v>52</v>
      </c>
      <c r="X20" s="27"/>
      <c r="Y20" s="28" t="s">
        <v>57</v>
      </c>
      <c r="Z20" s="29"/>
    </row>
    <row r="21" spans="1:26" ht="25.05" customHeight="1" x14ac:dyDescent="0.3">
      <c r="A21" s="3"/>
      <c r="G21" s="4"/>
      <c r="K21" s="2" t="s">
        <v>3</v>
      </c>
      <c r="L21" s="62" t="s">
        <v>15</v>
      </c>
      <c r="M21" s="54"/>
      <c r="N21" s="45"/>
      <c r="V21" s="88"/>
      <c r="W21" s="11" t="s">
        <v>61</v>
      </c>
      <c r="X21" s="31"/>
      <c r="Y21" s="32"/>
      <c r="Z21" s="26"/>
    </row>
    <row r="22" spans="1:26" ht="25.05" customHeight="1" thickBot="1" x14ac:dyDescent="0.35">
      <c r="A22" s="3"/>
      <c r="G22" s="4"/>
      <c r="K22" s="2" t="s">
        <v>69</v>
      </c>
      <c r="L22" s="53">
        <v>300</v>
      </c>
      <c r="M22" s="54" t="s">
        <v>44</v>
      </c>
      <c r="N22" s="45" t="s">
        <v>76</v>
      </c>
      <c r="V22" s="89"/>
      <c r="W22" s="55" t="s">
        <v>53</v>
      </c>
      <c r="X22" s="33"/>
      <c r="Y22" s="34" t="s">
        <v>33</v>
      </c>
      <c r="Z22" s="35"/>
    </row>
    <row r="23" spans="1:26" ht="25.05" customHeight="1" x14ac:dyDescent="0.3">
      <c r="A23" s="3"/>
      <c r="G23" s="4"/>
      <c r="K23" s="2" t="s">
        <v>70</v>
      </c>
      <c r="L23" s="53">
        <v>150</v>
      </c>
      <c r="M23" s="54" t="s">
        <v>98</v>
      </c>
      <c r="N23" s="45" t="s">
        <v>77</v>
      </c>
      <c r="V23" s="87">
        <v>8</v>
      </c>
      <c r="W23" s="52" t="s">
        <v>52</v>
      </c>
      <c r="X23" s="27"/>
      <c r="Y23" s="28" t="s">
        <v>57</v>
      </c>
      <c r="Z23" s="29"/>
    </row>
    <row r="24" spans="1:26" ht="15" customHeight="1" x14ac:dyDescent="0.3">
      <c r="A24" s="3"/>
      <c r="G24" s="4"/>
      <c r="K24" s="63" t="s">
        <v>107</v>
      </c>
      <c r="L24" s="58">
        <v>16</v>
      </c>
      <c r="V24" s="88"/>
      <c r="W24" s="11" t="s">
        <v>61</v>
      </c>
      <c r="X24" s="31"/>
      <c r="Y24" s="32"/>
      <c r="Z24" s="26"/>
    </row>
    <row r="25" spans="1:26" ht="15" customHeight="1" thickBot="1" x14ac:dyDescent="0.35">
      <c r="A25" s="3"/>
      <c r="G25" s="4"/>
      <c r="V25" s="89"/>
      <c r="W25" s="55" t="s">
        <v>53</v>
      </c>
      <c r="X25" s="33"/>
      <c r="Y25" s="34" t="s">
        <v>33</v>
      </c>
      <c r="Z25" s="35"/>
    </row>
    <row r="26" spans="1:26" ht="15" customHeight="1" x14ac:dyDescent="0.3">
      <c r="A26" s="3"/>
      <c r="G26" s="4"/>
      <c r="V26" s="87">
        <v>9</v>
      </c>
      <c r="W26" s="52" t="s">
        <v>52</v>
      </c>
      <c r="X26" s="27"/>
      <c r="Y26" s="28" t="s">
        <v>57</v>
      </c>
      <c r="Z26" s="29"/>
    </row>
    <row r="27" spans="1:26" ht="15" customHeight="1" x14ac:dyDescent="0.3">
      <c r="A27" s="3"/>
      <c r="G27" s="4"/>
      <c r="V27" s="88"/>
      <c r="W27" s="11" t="s">
        <v>61</v>
      </c>
      <c r="X27" s="31"/>
      <c r="Y27" s="32"/>
      <c r="Z27" s="26"/>
    </row>
    <row r="28" spans="1:26" ht="15" customHeight="1" thickBot="1" x14ac:dyDescent="0.35">
      <c r="A28" s="3"/>
      <c r="G28" s="4"/>
      <c r="V28" s="89"/>
      <c r="W28" s="55" t="s">
        <v>53</v>
      </c>
      <c r="X28" s="33"/>
      <c r="Y28" s="34" t="s">
        <v>33</v>
      </c>
      <c r="Z28" s="35"/>
    </row>
    <row r="29" spans="1:26" ht="15" customHeight="1" x14ac:dyDescent="0.3">
      <c r="A29" s="3"/>
      <c r="G29" s="4"/>
      <c r="V29" s="87">
        <v>10</v>
      </c>
      <c r="W29" s="52" t="s">
        <v>52</v>
      </c>
      <c r="X29" s="27"/>
      <c r="Y29" s="28" t="s">
        <v>57</v>
      </c>
      <c r="Z29" s="29"/>
    </row>
    <row r="30" spans="1:26" ht="15" customHeight="1" x14ac:dyDescent="0.3">
      <c r="A30" s="3"/>
      <c r="G30" s="4"/>
      <c r="V30" s="88"/>
      <c r="W30" s="11" t="s">
        <v>61</v>
      </c>
      <c r="X30" s="31"/>
      <c r="Y30" s="32"/>
      <c r="Z30" s="26"/>
    </row>
    <row r="31" spans="1:26" ht="15" customHeight="1" thickBot="1" x14ac:dyDescent="0.35">
      <c r="A31" s="3"/>
      <c r="G31" s="4"/>
      <c r="V31" s="89"/>
      <c r="W31" s="55" t="s">
        <v>53</v>
      </c>
      <c r="X31" s="33"/>
      <c r="Y31" s="34" t="s">
        <v>33</v>
      </c>
      <c r="Z31" s="35"/>
    </row>
    <row r="32" spans="1:26" ht="15" customHeight="1" x14ac:dyDescent="0.3">
      <c r="A32" s="3"/>
      <c r="G32" s="4"/>
    </row>
    <row r="33" spans="1:7" ht="15" customHeight="1" x14ac:dyDescent="0.3">
      <c r="A33" s="3"/>
      <c r="G33" s="4"/>
    </row>
    <row r="34" spans="1:7" ht="15" customHeight="1" x14ac:dyDescent="0.3">
      <c r="A34" s="3"/>
      <c r="G34" s="4"/>
    </row>
    <row r="35" spans="1:7" ht="15" customHeight="1" x14ac:dyDescent="0.3">
      <c r="A35" s="3"/>
      <c r="G35" s="4"/>
    </row>
    <row r="36" spans="1:7" ht="15" customHeight="1" thickBot="1" x14ac:dyDescent="0.35">
      <c r="A36" s="5"/>
      <c r="B36" s="6"/>
      <c r="C36" s="6"/>
      <c r="D36" s="6"/>
      <c r="E36" s="6"/>
      <c r="F36" s="6"/>
      <c r="G36" s="7"/>
    </row>
  </sheetData>
  <sheetProtection sheet="1" objects="1" scenarios="1"/>
  <mergeCells count="18">
    <mergeCell ref="V26:V28"/>
    <mergeCell ref="V29:V31"/>
    <mergeCell ref="P9:P12"/>
    <mergeCell ref="V11:V13"/>
    <mergeCell ref="V14:V16"/>
    <mergeCell ref="V17:V19"/>
    <mergeCell ref="V20:V22"/>
    <mergeCell ref="V23:V25"/>
    <mergeCell ref="A1:C1"/>
    <mergeCell ref="H1:J1"/>
    <mergeCell ref="P2:P8"/>
    <mergeCell ref="V2:V4"/>
    <mergeCell ref="D5:G5"/>
    <mergeCell ref="V5:V7"/>
    <mergeCell ref="D6:G6"/>
    <mergeCell ref="D7:G7"/>
    <mergeCell ref="D8:G8"/>
    <mergeCell ref="V8:V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8" r:id="rId3" name="interp button">
              <controlPr defaultSize="0" print="0" autoFill="0" autoPict="0" macro="[0]!interp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39214-C950-46FB-A459-8CCCD5DBC1C6}">
          <x14:formula1>
            <xm:f>'Base de données'!$G$2:$G$4</xm:f>
          </x14:formula1>
          <xm:sqref>L7</xm:sqref>
        </x14:dataValidation>
        <x14:dataValidation type="list" allowBlank="1" showInputMessage="1" showErrorMessage="1" xr:uid="{9B90FB6C-0727-4FA4-9A50-09CC17820195}">
          <x14:formula1>
            <xm:f>'Base de données'!$J$2:$J$3</xm:f>
          </x14:formula1>
          <xm:sqref>L10</xm:sqref>
        </x14:dataValidation>
        <x14:dataValidation type="list" allowBlank="1" showInputMessage="1" showErrorMessage="1" xr:uid="{21E950B2-CC7A-443B-B1D9-9987F465DAE9}">
          <x14:formula1>
            <xm:f>'Base de données'!$B$2:$B$24</xm:f>
          </x14:formula1>
          <xm:sqref>L21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AF60D-96DA-45E6-92ED-21284B382161}">
  <sheetPr codeName="Sheet2"/>
  <dimension ref="A1:W7"/>
  <sheetViews>
    <sheetView workbookViewId="0">
      <selection activeCell="F16" sqref="F16"/>
    </sheetView>
  </sheetViews>
  <sheetFormatPr defaultRowHeight="15" customHeight="1" x14ac:dyDescent="0.3"/>
  <cols>
    <col min="1" max="1" width="8.88671875" style="1"/>
    <col min="2" max="2" width="20.6640625" style="1" customWidth="1"/>
    <col min="3" max="3" width="10.21875" style="1" bestFit="1" customWidth="1"/>
    <col min="4" max="4" width="10.109375" style="1" bestFit="1" customWidth="1"/>
    <col min="5" max="5" width="8.77734375" style="1" bestFit="1" customWidth="1"/>
    <col min="6" max="6" width="8.88671875" style="1"/>
    <col min="7" max="7" width="12.77734375" style="1" bestFit="1" customWidth="1"/>
    <col min="8" max="8" width="27.6640625" style="1" bestFit="1" customWidth="1"/>
    <col min="9" max="9" width="8.88671875" style="1"/>
    <col min="10" max="10" width="9.5546875" style="1" bestFit="1" customWidth="1"/>
    <col min="11" max="11" width="8.21875" style="1" bestFit="1" customWidth="1"/>
    <col min="12" max="12" width="26.109375" style="1" bestFit="1" customWidth="1"/>
    <col min="13" max="13" width="7.6640625" style="1" bestFit="1" customWidth="1"/>
    <col min="14" max="16" width="8.88671875" style="1"/>
    <col min="17" max="17" width="12.77734375" style="1" bestFit="1" customWidth="1"/>
    <col min="18" max="18" width="8.88671875" style="1"/>
    <col min="19" max="19" width="13.44140625" style="1" customWidth="1"/>
    <col min="20" max="20" width="8.88671875" style="1"/>
    <col min="21" max="21" width="9.5546875" style="1" bestFit="1" customWidth="1"/>
    <col min="22" max="23" width="8.88671875" style="1"/>
    <col min="24" max="16384" width="8.88671875" style="36"/>
  </cols>
  <sheetData>
    <row r="1" spans="2:21" ht="15" customHeight="1" x14ac:dyDescent="0.35">
      <c r="B1" s="37" t="s">
        <v>7</v>
      </c>
      <c r="C1" s="2" t="s">
        <v>21</v>
      </c>
      <c r="D1" s="2" t="s">
        <v>87</v>
      </c>
      <c r="E1" s="2" t="s">
        <v>8</v>
      </c>
      <c r="G1" s="37" t="s">
        <v>20</v>
      </c>
      <c r="H1" s="2" t="s">
        <v>82</v>
      </c>
      <c r="J1" s="37" t="s">
        <v>9</v>
      </c>
      <c r="K1" s="2" t="s">
        <v>10</v>
      </c>
      <c r="L1" s="2" t="s">
        <v>83</v>
      </c>
      <c r="M1" s="2" t="s">
        <v>89</v>
      </c>
      <c r="Q1" s="1" t="s">
        <v>88</v>
      </c>
      <c r="S1" s="1" t="s">
        <v>11</v>
      </c>
      <c r="U1" s="1" t="s">
        <v>12</v>
      </c>
    </row>
    <row r="2" spans="2:21" ht="15" customHeight="1" x14ac:dyDescent="0.3">
      <c r="B2" s="2" t="s">
        <v>13</v>
      </c>
      <c r="C2" s="11">
        <v>0.88</v>
      </c>
      <c r="D2" s="11">
        <v>28000</v>
      </c>
      <c r="E2" s="11">
        <v>2.4</v>
      </c>
      <c r="G2" s="2" t="s">
        <v>14</v>
      </c>
      <c r="H2" s="2">
        <v>0.04</v>
      </c>
      <c r="J2" s="2" t="s">
        <v>2</v>
      </c>
      <c r="K2" s="38">
        <v>4.6E-5</v>
      </c>
      <c r="L2" s="2">
        <v>45</v>
      </c>
      <c r="M2" s="2">
        <v>150</v>
      </c>
      <c r="Q2" s="1" t="str">
        <f>Données!L7</f>
        <v>Laine minérale</v>
      </c>
      <c r="S2" s="1" t="str">
        <f>Données!L22</f>
        <v>Gaz naturel</v>
      </c>
      <c r="U2" s="39" t="str">
        <f>Données!L10</f>
        <v>Acier #123</v>
      </c>
    </row>
    <row r="3" spans="2:21" ht="15" customHeight="1" x14ac:dyDescent="0.3">
      <c r="B3" s="2" t="s">
        <v>15</v>
      </c>
      <c r="C3" s="11">
        <v>0.94</v>
      </c>
      <c r="D3" s="11">
        <v>47000</v>
      </c>
      <c r="E3" s="11">
        <v>2.75</v>
      </c>
      <c r="G3" s="2" t="s">
        <v>0</v>
      </c>
      <c r="H3" s="2">
        <v>3.5999999999999997E-2</v>
      </c>
      <c r="J3" s="2" t="s">
        <v>16</v>
      </c>
      <c r="K3" s="38">
        <v>4.3999999999999999E-5</v>
      </c>
      <c r="L3" s="2">
        <v>42</v>
      </c>
      <c r="M3" s="2">
        <v>175</v>
      </c>
    </row>
    <row r="4" spans="2:21" ht="15" customHeight="1" x14ac:dyDescent="0.3">
      <c r="B4" s="2" t="s">
        <v>17</v>
      </c>
      <c r="C4" s="11">
        <v>0.92</v>
      </c>
      <c r="D4" s="11">
        <v>43400</v>
      </c>
      <c r="E4" s="11">
        <v>3.3</v>
      </c>
      <c r="G4" s="2" t="s">
        <v>18</v>
      </c>
      <c r="H4" s="2">
        <v>2.5000000000000001E-2</v>
      </c>
    </row>
    <row r="5" spans="2:21" ht="15" customHeight="1" x14ac:dyDescent="0.3">
      <c r="B5" s="2" t="s">
        <v>4</v>
      </c>
      <c r="C5" s="11">
        <v>0.87</v>
      </c>
      <c r="D5" s="11">
        <v>15400</v>
      </c>
      <c r="E5" s="11">
        <v>1.8</v>
      </c>
    </row>
    <row r="6" spans="2:21" ht="15" customHeight="1" x14ac:dyDescent="0.3">
      <c r="B6" s="2" t="s">
        <v>19</v>
      </c>
      <c r="C6" s="11">
        <v>0.9</v>
      </c>
      <c r="D6" s="11">
        <v>15000</v>
      </c>
      <c r="E6" s="11">
        <v>8.1000000000000003E-2</v>
      </c>
    </row>
    <row r="7" spans="2:21" ht="15" customHeight="1" x14ac:dyDescent="0.3">
      <c r="B7" s="2" t="s">
        <v>143</v>
      </c>
      <c r="C7" s="2">
        <v>0.75</v>
      </c>
      <c r="D7" s="2">
        <v>20000</v>
      </c>
      <c r="E7" s="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Données</vt:lpstr>
      <vt:lpstr>siemens-14</vt:lpstr>
      <vt:lpstr>siemens-13</vt:lpstr>
      <vt:lpstr>siemens-12</vt:lpstr>
      <vt:lpstr>siemens-11</vt:lpstr>
      <vt:lpstr>siemens-10</vt:lpstr>
      <vt:lpstr>siemens-9</vt:lpstr>
      <vt:lpstr>siemens-8</vt:lpstr>
      <vt:lpstr>siemens-7</vt:lpstr>
      <vt:lpstr>siemens-6</vt:lpstr>
      <vt:lpstr>siemens-5</vt:lpstr>
      <vt:lpstr>siemens-4</vt:lpstr>
      <vt:lpstr>siemens-3</vt:lpstr>
      <vt:lpstr>siemens-2</vt:lpstr>
      <vt:lpstr>siemens-1</vt:lpstr>
      <vt:lpstr>siemens</vt:lpstr>
      <vt:lpstr>Centrale_nb1-1</vt:lpstr>
      <vt:lpstr>Centrale_nb1</vt:lpstr>
      <vt:lpstr>Centrale_nom-1</vt:lpstr>
      <vt:lpstr>Centrale_nom</vt:lpstr>
      <vt:lpstr>Centrale_nb1_hiver</vt:lpstr>
      <vt:lpstr>Centrale_nb1_été</vt:lpstr>
      <vt:lpstr>Centrale_nom_balancée-1</vt:lpstr>
      <vt:lpstr>Centrale_nom_balancée</vt:lpstr>
      <vt:lpstr>Centrale_nom_hiv_riv</vt:lpstr>
      <vt:lpstr>Centrale_nom_hmoyen</vt:lpstr>
      <vt:lpstr>Centrale_charbon_3étages</vt:lpstr>
      <vt:lpstr>Centrale_biomasse_0étages</vt:lpstr>
      <vt:lpstr>Centrale_nom_hiver</vt:lpstr>
      <vt:lpstr>Centrale_0etages_biom_corr-1</vt:lpstr>
      <vt:lpstr>Centrale_0etages_biom_corr</vt:lpstr>
      <vt:lpstr>Centrale_0etages_biom</vt:lpstr>
      <vt:lpstr>Centrale_2etages_biom</vt:lpstr>
      <vt:lpstr>Centrale_4etages_charb</vt:lpstr>
      <vt:lpstr>Centrale_hiv_sout</vt:lpstr>
      <vt:lpstr>Centrale_nominale_soutirage</vt:lpstr>
      <vt:lpstr>Centrale_hiver_soutirage</vt:lpstr>
      <vt:lpstr>Centrale_hiver</vt:lpstr>
      <vt:lpstr>Centrale_été1</vt:lpstr>
      <vt:lpstr>Centrale_étésec</vt:lpstr>
      <vt:lpstr>Centrale_étésec_soutirage</vt:lpstr>
      <vt:lpstr>Centrale_hiver_pas de zero</vt:lpstr>
      <vt:lpstr>Base de 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Philippe-Etienne Legentil</dc:creator>
  <cp:lastModifiedBy>Philippe-Etienne Legentil</cp:lastModifiedBy>
  <dcterms:created xsi:type="dcterms:W3CDTF">2024-03-18T18:40:50Z</dcterms:created>
  <dcterms:modified xsi:type="dcterms:W3CDTF">2024-04-06T02:51:07Z</dcterms:modified>
</cp:coreProperties>
</file>